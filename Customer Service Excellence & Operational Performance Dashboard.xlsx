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hidePivotFieldList="1"/>
  <mc:AlternateContent xmlns:mc="http://schemas.openxmlformats.org/markup-compatibility/2006">
    <mc:Choice Requires="x15">
      <x15ac:absPath xmlns:x15ac="http://schemas.microsoft.com/office/spreadsheetml/2010/11/ac" url="D:\AG\Excel\Excel - Chandoo\"/>
    </mc:Choice>
  </mc:AlternateContent>
  <xr:revisionPtr revIDLastSave="0" documentId="8_{F7E73CE1-A59D-41A1-8563-04010F240F8F}" xr6:coauthVersionLast="47" xr6:coauthVersionMax="47" xr10:uidLastSave="{00000000-0000-0000-0000-000000000000}"/>
  <bookViews>
    <workbookView xWindow="-98" yWindow="-98" windowWidth="21795" windowHeight="12975" activeTab="2" xr2:uid="{26D4546B-D2A1-4444-8EAF-A6228F96F0C1}"/>
  </bookViews>
  <sheets>
    <sheet name="Data" sheetId="2" r:id="rId1"/>
    <sheet name="Pivot" sheetId="6" r:id="rId2"/>
    <sheet name="Customer Center Report" sheetId="5" r:id="rId3"/>
    <sheet name="Assets" sheetId="4"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107" r:id="rId9"/>
    <pivotCache cacheId="110" r:id="rId10"/>
    <pivotCache cacheId="113" r:id="rId11"/>
    <pivotCache cacheId="116" r:id="rId12"/>
    <pivotCache cacheId="11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9" i="6" l="1"/>
  <c r="M30" i="5" s="1"/>
  <c r="H58" i="6"/>
  <c r="H60" i="6" s="1"/>
  <c r="H66" i="6" s="1"/>
  <c r="M37" i="5" s="1"/>
  <c r="H57" i="6"/>
  <c r="H59" i="6" s="1"/>
  <c r="H65" i="6" s="1"/>
  <c r="M36" i="5" s="1"/>
  <c r="H56" i="6"/>
  <c r="H64" i="6" s="1"/>
  <c r="M35" i="5" s="1"/>
  <c r="Q20" i="5" a="1"/>
  <c r="Q20" i="5" s="1"/>
  <c r="P21" i="5" a="1"/>
  <c r="P21" i="5" s="1"/>
  <c r="J44" i="6"/>
  <c r="J5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52" i="6" l="1"/>
  <c r="J49" i="6"/>
  <c r="J48" i="6"/>
  <c r="J51" i="6"/>
  <c r="J50" i="6"/>
  <c r="K48" i="6"/>
  <c r="K50" i="6"/>
  <c r="K51" i="6"/>
  <c r="K4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98D1B6-D52E-4787-9FC2-7FE03A8BDC1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E112B9A-037A-49CC-AB65-A117C7823920}"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09D03ED7-14EE-4BEC-A2AD-FA53071F1A65}"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<sst xmlns="http://schemas.openxmlformats.org/spreadsheetml/2006/main" count="3179" uniqueCount="1088">
  <si>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</si>
  <si>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</si>
  <si>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</si>
  <si>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</si>
  <si>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</si>
  <si>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</si>
  <si>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</si>
  <si>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</si>
  <si>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</si>
  <si>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</si>
  <si>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</si>
  <si>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</si>
  <si>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</si>
  <si>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</si>
  <si>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</si>
  <si>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</si>
  <si>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</si>
  <si>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</si>
  <si>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</si>
  <si>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</si>
  <si>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</si>
  <si>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</si>
  <si>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</si>
  <si>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</si>
  <si>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</si>
  <si>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</si>
  <si>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</si>
  <si>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</si>
  <si>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</si>
  <si>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</si>
  <si>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</si>
  <si>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</si>
  <si>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</si>
  <si>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</si>
  <si>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</si>
  <si>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</si>
  <si>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</si>
  <si>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</si>
  <si>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</si>
  <si>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</si>
  <si>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</si>
  <si>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</si>
  <si>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</si>
  <si>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</si>
  <si>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</si>
  <si>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</si>
  <si>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</si>
  <si>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</si>
  <si>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</si>
  <si>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</si>
  <si>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</si>
  <si>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</si>
  <si>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</si>
  <si>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</si>
  <si>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</si>
  <si>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</si>
  <si>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</si>
  <si>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</si>
  <si>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</si>
  <si>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</si>
  <si>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</si>
  <si>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</si>
  <si>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</si>
  <si>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</si>
  <si>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</si>
  <si>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</si>
  <si>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</si>
  <si>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</si>
  <si>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</si>
  <si>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</si>
  <si>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</si>
  <si>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</si>
  <si>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</si>
  <si>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</si>
  <si>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</si>
  <si>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</si>
  <si>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</si>
  <si>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</si>
  <si>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</si>
  <si>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</si>
  <si>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</si>
  <si>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</si>
  <si>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</si>
  <si>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</si>
  <si>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</si>
  <si>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</si>
  <si>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</si>
  <si>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</si>
  <si>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</si>
  <si>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</si>
  <si>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</si>
  <si>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</si>
  <si>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</si>
  <si>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</si>
  <si>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</si>
  <si>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</si>
  <si>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</si>
  <si>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</si>
  <si>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</si>
  <si>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</si>
  <si>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</si>
  <si>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</si>
  <si>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</si>
  <si>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</si>
  <si>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</si>
  <si>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</si>
  <si>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</si>
  <si>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</si>
  <si>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</si>
  <si>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</si>
  <si>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</si>
  <si>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</si>
  <si>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</si>
  <si>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</si>
  <si>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</si>
  <si>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</si>
  <si>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</si>
  <si>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</si>
  <si>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</si>
  <si>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</si>
  <si>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</si>
  <si>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</si>
  <si>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</si>
  <si>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</si>
  <si>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</si>
  <si>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</si>
  <si>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</si>
  <si>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</si>
  <si>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</si>
  <si>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</si>
  <si>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</si>
  <si>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</si>
  <si>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</si>
  <si>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</si>
  <si>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</si>
  <si>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</si>
  <si>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</si>
  <si>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</si>
  <si>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</si>
  <si>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</si>
  <si>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</si>
  <si>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</si>
  <si>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</si>
  <si>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</si>
  <si>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</si>
  <si>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</si>
  <si>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</si>
  <si>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</si>
  <si>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</si>
  <si>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</si>
  <si>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</si>
  <si>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</si>
  <si>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</si>
  <si>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</si>
  <si>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</si>
  <si>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</si>
  <si>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</si>
  <si>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</si>
  <si>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</si>
  <si>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</si>
  <si>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</si>
  <si>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</si>
  <si>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</si>
  <si>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</si>
  <si>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</si>
  <si>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</si>
  <si>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</si>
  <si>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</si>
  <si>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</si>
  <si>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</si>
  <si>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</si>
  <si>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</si>
  <si>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</si>
  <si>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</si>
  <si>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</si>
  <si>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</si>
  <si>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</si>
  <si>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</si>
  <si>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</si>
  <si>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</si>
  <si>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</si>
  <si>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</si>
  <si>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</si>
  <si>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</si>
  <si>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</si>
  <si>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</si>
  <si>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</si>
  <si>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</si>
  <si>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</si>
  <si>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</si>
  <si>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</si>
  <si>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</si>
  <si>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</si>
  <si>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</si>
  <si>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</si>
  <si>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</si>
  <si>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</si>
  <si>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</si>
  <si>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</si>
  <si>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</si>
  <si>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</si>
  <si>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</si>
  <si>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</si>
  <si>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</si>
  <si>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</si>
  <si>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</si>
  <si>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</si>
  <si>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</si>
  <si>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</si>
  <si>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</si>
  <si>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</si>
  <si>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</si>
  <si>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</si>
  <si>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</si>
  <si>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</si>
  <si>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</si>
  <si>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</si>
  <si>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</si>
  <si>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</si>
  <si>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</si>
  <si>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</si>
  <si>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</si>
  <si>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</si>
  <si>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</si>
  <si>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</si>
  <si>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</si>
  <si>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</si>
  <si>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</si>
  <si>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</si>
  <si>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</si>
  <si>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</si>
  <si>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</si>
  <si>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</si>
  <si>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</si>
  <si>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</si>
  <si>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</si>
  <si>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</si>
  <si>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</si>
  <si>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</si>
  <si>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</si>
  <si>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</si>
  <si>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</si>
  <si>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</si>
  <si>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</si>
  <si>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</si>
  <si>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</si>
  <si>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</si>
  <si>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</si>
  <si>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</si>
  <si>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</si>
  <si>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</si>
  <si>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</si>
  <si>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</si>
  <si>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</si>
  <si>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</si>
  <si>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</si>
  <si>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</si>
  <si>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</si>
  <si>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</si>
  <si>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</si>
  <si>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</si>
  <si>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</si>
  <si>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</si>
  <si>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</si>
  <si>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</si>
  <si>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</si>
  <si>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</si>
  <si>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</si>
  <si>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</si>
  <si>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</si>
  <si>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</si>
  <si>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</si>
  <si>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</si>
  <si>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</si>
  <si>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</si>
  <si>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</si>
  <si>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</si>
  <si>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</si>
  <si>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</si>
  <si>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</si>
  <si>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</si>
  <si>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</si>
  <si>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</si>
  <si>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</si>
  <si>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</si>
  <si>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</si>
  <si>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</si>
  <si>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</si>
  <si>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</si>
  <si>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</si>
  <si>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</si>
  <si>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</si>
  <si>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</si>
  <si>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</si>
  <si>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</si>
  <si>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</si>
  <si>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</si>
  <si>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</si>
  <si>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</si>
  <si>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</si>
  <si>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</si>
  <si>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</si>
  <si>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</si>
  <si>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</si>
  <si>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</si>
  <si>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</si>
  <si>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</si>
  <si>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</si>
  <si>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</si>
  <si>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</si>
  <si>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</si>
  <si>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</si>
  <si>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</si>
  <si>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</si>
  <si>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</si>
  <si>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</si>
  <si>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</si>
  <si>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</si>
  <si>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</si>
  <si>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</si>
  <si>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</si>
  <si>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</si>
  <si>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</si>
  <si>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</si>
  <si>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</si>
  <si>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</si>
  <si>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</si>
  <si>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</si>
  <si>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</si>
  <si>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</si>
  <si>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</si>
  <si>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</si>
  <si>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</si>
  <si>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</si>
  <si>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</si>
  <si>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</si>
  <si>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</si>
  <si>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</si>
  <si>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</si>
  <si>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</si>
  <si>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</si>
  <si>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</si>
  <si>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</si>
  <si>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</si>
  <si>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</si>
  <si>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</si>
  <si>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</si>
  <si>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</si>
  <si>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</si>
  <si>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</si>
  <si>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</si>
  <si>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</si>
  <si>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</si>
  <si>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</si>
  <si>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</si>
  <si>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</si>
  <si>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</si>
  <si>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</si>
  <si>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</si>
  <si>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</si>
  <si>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</si>
  <si>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</si>
  <si>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</si>
  <si>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</si>
  <si>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</si>
  <si>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</si>
  <si>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</si>
  <si>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</si>
  <si>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</si>
  <si>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</si>
  <si>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</si>
  <si>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</si>
  <si>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</si>
  <si>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</si>
  <si>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</si>
  <si>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</si>
  <si>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</si>
  <si>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</si>
  <si>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</si>
  <si>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</si>
  <si>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</si>
  <si>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</si>
  <si>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</si>
  <si>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</si>
  <si>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</si>
  <si>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</si>
  <si>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</si>
  <si>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</si>
  <si>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</si>
  <si>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</si>
  <si>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</si>
  <si>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</si>
  <si>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</si>
  <si>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</si>
  <si>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</si>
  <si>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</si>
  <si>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</si>
  <si>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</si>
  <si>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</si>
  <si>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</si>
  <si>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</si>
  <si>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</si>
  <si>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</si>
  <si>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</si>
  <si>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</si>
  <si>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</si>
  <si>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</si>
  <si>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</si>
  <si>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</si>
  <si>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</si>
  <si>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</si>
  <si>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</si>
  <si>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</si>
  <si>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</si>
  <si>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</si>
  <si>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</si>
  <si>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</si>
  <si>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</si>
  <si>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</si>
  <si>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</si>
  <si>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</si>
  <si>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</si>
  <si>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</si>
  <si>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</si>
  <si>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</si>
  <si>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</si>
  <si>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</si>
  <si>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</si>
  <si>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</si>
  <si>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</si>
  <si>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</si>
  <si>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</si>
  <si>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</si>
  <si>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</si>
  <si>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</si>
  <si>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</si>
  <si>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</si>
  <si>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</si>
  <si>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</si>
  <si>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</si>
  <si>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</si>
  <si>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</si>
  <si>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</si>
  <si>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</si>
  <si>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</si>
  <si>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</si>
  <si>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</si>
  <si>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</si>
  <si>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</si>
  <si>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</si>
  <si>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</si>
  <si>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</si>
  <si>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</si>
  <si>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</si>
  <si>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</si>
  <si>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</si>
  <si>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</si>
  <si>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</si>
  <si>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</si>
  <si>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</si>
  <si>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</si>
  <si>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</si>
  <si>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</si>
  <si>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</si>
  <si>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</si>
  <si>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</si>
  <si>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</si>
  <si>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</si>
  <si>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</si>
  <si>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</si>
  <si>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</si>
  <si>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</si>
  <si>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</si>
  <si>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</si>
  <si>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</si>
  <si>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</si>
  <si>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</si>
  <si>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</si>
  <si>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</si>
  <si>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</si>
  <si>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</si>
  <si>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</si>
  <si>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</si>
  <si>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</si>
  <si>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</si>
  <si>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</si>
  <si>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</si>
  <si>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</si>
  <si>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</si>
  <si>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</si>
  <si>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</si>
  <si>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</si>
  <si>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</si>
  <si>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</si>
  <si>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</si>
  <si>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</si>
  <si>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</si>
  <si>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</si>
  <si>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</si>
  <si>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</si>
  <si>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</si>
  <si>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</si>
  <si>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</si>
  <si>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</si>
  <si>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</si>
  <si>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</si>
  <si>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</si>
  <si>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</si>
  <si>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</si>
  <si>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</si>
  <si>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</si>
  <si>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</si>
  <si>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</si>
  <si>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</si>
  <si>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</si>
  <si>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</si>
  <si>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</si>
  <si>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</si>
  <si>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</si>
  <si>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</si>
  <si>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</si>
  <si>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</si>
  <si>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</si>
  <si>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</si>
  <si>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</si>
  <si>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</si>
  <si>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</si>
  <si>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</si>
  <si>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</si>
  <si>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</si>
  <si>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</si>
  <si>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</si>
  <si>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</si>
  <si>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</si>
  <si>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</si>
  <si>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</si>
  <si>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</si>
  <si>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</si>
  <si>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</si>
  <si>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</si>
  <si>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</si>
  <si>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</si>
  <si>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</si>
  <si>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</si>
  <si>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</si>
  <si>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</si>
  <si>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</si>
  <si>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</si>
  <si>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</si>
  <si>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</si>
  <si>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</si>
  <si>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</si>
  <si>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</si>
  <si>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</si>
  <si>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</si>
  <si>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</si>
  <si>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</si>
  <si>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</si>
  <si>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</si>
  <si>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</si>
  <si>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</si>
  <si>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</si>
  <si>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</si>
  <si>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</si>
  <si>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</si>
  <si>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</si>
  <si>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</si>
  <si>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</si>
  <si>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</si>
  <si>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</si>
  <si>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</si>
  <si>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</si>
  <si>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</si>
  <si>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</si>
  <si>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</si>
  <si>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</si>
  <si>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</si>
  <si>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</si>
  <si>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</si>
  <si>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</si>
  <si>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</si>
  <si>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</si>
  <si>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</si>
  <si>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</si>
  <si>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</si>
  <si>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</si>
  <si>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</si>
  <si>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</si>
  <si>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</si>
  <si>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</si>
  <si>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</si>
  <si>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</si>
  <si>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</si>
  <si>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</si>
  <si>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</si>
  <si>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</si>
  <si>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</si>
  <si>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</si>
  <si>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</si>
  <si>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</si>
  <si>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</si>
  <si>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</si>
  <si>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</si>
  <si>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</si>
  <si>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</si>
  <si>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</si>
  <si>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</si>
  <si>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</si>
  <si>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</si>
  <si>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</si>
  <si>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</si>
  <si>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</si>
  <si>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</si>
  <si>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</si>
  <si>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</si>
  <si>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</si>
  <si>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</si>
  <si>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</si>
  <si>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</si>
  <si>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</si>
  <si>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</si>
  <si>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</si>
  <si>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</si>
  <si>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</si>
  <si>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</si>
  <si>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</si>
  <si>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</si>
  <si>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</si>
  <si>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</si>
  <si>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</si>
  <si>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</si>
  <si>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</si>
  <si>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</si>
  <si>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</si>
  <si>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</si>
  <si>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</si>
  <si>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</si>
  <si>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</si>
  <si>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</si>
  <si>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</si>
  <si>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</si>
  <si>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</si>
  <si>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</si>
  <si>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</si>
  <si>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</si>
  <si>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</si>
  <si>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</si>
  <si>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</si>
  <si>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</si>
  <si>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</si>
  <si>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</si>
  <si>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</si>
  <si>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</si>
  <si>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</si>
  <si>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</si>
  <si>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</si>
  <si>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</si>
  <si>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</si>
  <si>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</si>
  <si>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</si>
  <si>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</si>
  <si>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</si>
  <si>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</si>
  <si>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</si>
  <si>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</si>
  <si>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</si>
  <si>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</si>
  <si>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</si>
  <si>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</si>
  <si>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</si>
  <si>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</si>
  <si>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</si>
  <si>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</si>
  <si>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</si>
  <si>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</si>
  <si>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</si>
  <si>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</si>
  <si>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</si>
  <si>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</si>
  <si>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</si>
  <si>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</si>
  <si>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</si>
  <si>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</si>
  <si>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</si>
  <si>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</si>
  <si>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</si>
  <si>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</si>
  <si>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</si>
  <si>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</si>
  <si>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</si>
  <si>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</si>
  <si>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</si>
  <si>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</si>
  <si>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</si>
  <si>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</si>
  <si>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</si>
  <si>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</si>
  <si>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</si>
  <si>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</si>
  <si>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</si>
  <si>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</si>
  <si>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</si>
  <si>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</si>
  <si>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</si>
  <si>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</si>
  <si>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</si>
  <si>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</si>
  <si>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</si>
  <si>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</si>
  <si>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</si>
  <si>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</si>
  <si>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</si>
  <si>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</si>
  <si>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</si>
  <si>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</si>
  <si>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</si>
  <si>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</si>
  <si>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</si>
  <si>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</si>
  <si>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</si>
  <si>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</si>
  <si>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</si>
  <si>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</si>
  <si>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</si>
  <si>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</si>
  <si>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</si>
  <si>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</si>
  <si>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</si>
  <si>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</si>
  <si>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</si>
  <si>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</si>
  <si>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</si>
  <si>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</si>
  <si>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</si>
  <si>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</si>
  <si>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</si>
  <si>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</si>
  <si>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</si>
  <si>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</si>
  <si>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</si>
  <si>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</si>
  <si>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</si>
  <si>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</si>
  <si>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</si>
  <si>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</si>
  <si>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</si>
  <si>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</si>
  <si>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</si>
  <si>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</si>
  <si>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</si>
  <si>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</si>
  <si>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</si>
  <si>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</si>
  <si>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</si>
  <si>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</si>
  <si>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</si>
  <si>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</si>
  <si>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</si>
  <si>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</si>
  <si>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</si>
  <si>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</si>
  <si>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</si>
  <si>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</si>
  <si>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</si>
  <si>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</si>
  <si>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</si>
  <si>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</si>
  <si>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</si>
  <si>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</si>
  <si>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</si>
  <si>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</si>
  <si>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</si>
  <si>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</si>
  <si>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</si>
  <si>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</si>
  <si>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</si>
  <si>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</si>
  <si>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</si>
  <si>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</si>
  <si>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</si>
  <si>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</si>
  <si>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</si>
  <si>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</si>
  <si>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</si>
  <si>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</si>
  <si>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</si>
  <si>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</si>
  <si>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</si>
  <si>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</si>
  <si>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</si>
  <si>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</si>
  <si>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</si>
  <si>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</si>
  <si>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</si>
  <si>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</si>
  <si>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</si>
  <si>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</si>
  <si>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</si>
  <si>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</si>
  <si>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</si>
  <si>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</si>
  <si>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</si>
  <si>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</si>
  <si>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</si>
  <si>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</si>
  <si>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</si>
  <si>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</si>
  <si>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</si>
  <si>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</si>
  <si>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</si>
  <si>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</si>
  <si>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</si>
  <si>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</si>
  <si>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</si>
  <si>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</si>
  <si>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</si>
  <si>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</si>
  <si>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</si>
  <si>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</si>
  <si>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</si>
  <si>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</si>
  <si>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</si>
  <si>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</si>
  <si>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</si>
  <si>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</si>
  <si>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</si>
  <si>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</si>
  <si>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</si>
  <si>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</si>
  <si>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</si>
  <si>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</si>
  <si>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</si>
  <si>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</si>
  <si>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</si>
  <si>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</si>
  <si>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</si>
  <si>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</si>
  <si>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</si>
  <si>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</si>
  <si>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</si>
  <si>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</si>
  <si>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</si>
  <si>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</si>
  <si>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</si>
  <si>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</si>
  <si>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</si>
  <si>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</si>
  <si>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</si>
  <si>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</si>
  <si>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</si>
  <si>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</si>
  <si>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</si>
  <si>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</si>
  <si>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</si>
  <si>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</si>
  <si>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</si>
  <si>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</si>
  <si>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</si>
  <si>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</si>
  <si>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</si>
  <si>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</si>
  <si>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</si>
  <si>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</si>
  <si>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</si>
  <si>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</si>
  <si>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</si>
  <si>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</si>
  <si>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</si>
  <si>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</si>
  <si>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</si>
  <si>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</si>
  <si>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</si>
  <si>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</si>
  <si>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</si>
  <si>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</si>
  <si>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</si>
  <si>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</si>
  <si>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</si>
  <si>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</si>
  <si>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</si>
  <si>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</si>
  <si>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</si>
  <si>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</si>
  <si>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</si>
  <si>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</si>
  <si>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</si>
  <si>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</si>
  <si>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</si>
  <si>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</si>
  <si>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</si>
  <si>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</si>
  <si>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</si>
  <si>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</si>
  <si>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</si>
  <si>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</si>
  <si>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</si>
  <si>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</si>
  <si>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</si>
  <si>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</si>
  <si>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</si>
  <si>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</si>
  <si>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</si>
  <si>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</si>
  <si>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</si>
  <si>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</si>
  <si>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</si>
  <si>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</si>
  <si>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</si>
  <si>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</si>
  <si>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</si>
  <si>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</si>
  <si>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</si>
  <si>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</si>
  <si>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</si>
  <si>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</si>
  <si>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</si>
  <si>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</si>
  <si>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</si>
  <si>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</si>
  <si>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</si>
  <si>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</si>
  <si>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</si>
  <si>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</si>
  <si>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</si>
  <si>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</si>
  <si>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</si>
  <si>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</si>
  <si>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</si>
  <si>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</si>
  <si>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</si>
  <si>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</si>
  <si>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</si>
  <si>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</si>
  <si>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</si>
  <si>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</si>
  <si>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</si>
  <si>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</si>
  <si>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</si>
  <si>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</si>
  <si>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</si>
  <si>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</si>
  <si>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</si>
  <si>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</si>
  <si>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</si>
  <si>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</si>
  <si>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</si>
  <si>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</si>
  <si>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</si>
  <si>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</si>
  <si>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</si>
  <si>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</si>
  <si>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</si>
  <si>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</si>
  <si>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</si>
  <si>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</si>
  <si>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</si>
  <si>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</si>
  <si>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</si>
  <si>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</si>
  <si>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</si>
  <si>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</si>
  <si>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</si>
  <si>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</si>
  <si>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</si>
  <si>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</si>
  <si>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</si>
  <si>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</si>
  <si>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</si>
  <si>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</si>
  <si>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</si>
  <si>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</si>
  <si>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</si>
  <si>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</si>
  <si>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</si>
  <si>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</si>
  <si>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</si>
  <si>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</si>
  <si>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</si>
  <si>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</si>
  <si>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</si>
  <si>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</si>
  <si>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</si>
  <si>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</si>
  <si>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</si>
  <si>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</si>
  <si>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</si>
  <si>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</si>
  <si>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</si>
  <si>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</si>
  <si>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</si>
  <si>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</si>
  <si>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</si>
  <si>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</si>
  <si>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</si>
  <si>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</si>
  <si>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</si>
  <si>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</si>
  <si>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</si>
  <si>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</si>
  <si>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</si>
  <si>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</si>
  <si>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</si>
  <si>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</si>
  <si>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</si>
  <si>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</si>
  <si>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</si>
  <si>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</si>
  <si>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</si>
  <si>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</si>
  <si>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</si>
  <si>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</si>
  <si>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</si>
  <si>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</si>
  <si>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</si>
  <si>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</si>
  <si>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</si>
  <si>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</si>
  <si>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</si>
  <si>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</si>
  <si>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</si>
  <si>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</si>
  <si>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</si>
  <si>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</si>
  <si>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</si>
  <si>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</si>
  <si>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</si>
  <si>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</si>
  <si>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</si>
  <si>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</si>
  <si>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</si>
  <si>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</si>
  <si>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</si>
  <si>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</si>
  <si>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</si>
  <si>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</si>
  <si>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</si>
  <si>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</si>
  <si>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</si>
  <si>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</si>
  <si>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</si>
  <si>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</si>
  <si>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</si>
  <si>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Purchase Amount</t>
  </si>
  <si>
    <t>Total Duration</t>
  </si>
  <si>
    <t>Average Rating</t>
  </si>
  <si>
    <t>5 *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</si>
  <si>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</si>
  <si>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</si>
  <si>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</si>
  <si>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</si>
  <si>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</si>
  <si>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</si>
  <si>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</si>
  <si>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</si>
  <si>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</si>
  <si>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</si>
  <si>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</si>
  <si>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</si>
  <si>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</si>
  <si>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</si>
  <si>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</si>
  <si>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</si>
  <si>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</si>
  <si>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</si>
  <si>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</si>
  <si>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</si>
  <si>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</si>
  <si>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</si>
  <si>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Sum of Purchase Amount</t>
  </si>
  <si>
    <t>graph</t>
  </si>
  <si>
    <t>Calls</t>
  </si>
  <si>
    <t>Amount</t>
  </si>
  <si>
    <t>Rep</t>
  </si>
  <si>
    <t>Sel.Calls</t>
  </si>
  <si>
    <t>Sel.Amount</t>
  </si>
  <si>
    <t>Selected Rep=&gt;</t>
  </si>
  <si>
    <t>Column Labels</t>
  </si>
  <si>
    <t>TOTAL</t>
  </si>
  <si>
    <t>Rep Summary</t>
  </si>
  <si>
    <t>% of calls</t>
  </si>
  <si>
    <t>Call Rank</t>
  </si>
  <si>
    <t>Amount Rank</t>
  </si>
  <si>
    <t>Labels:</t>
  </si>
  <si>
    <t>Image:</t>
  </si>
  <si>
    <t>X- Axis</t>
  </si>
  <si>
    <t>Customer Service Excellence &amp; Operational Performance Dashboard</t>
  </si>
  <si>
    <t>Data Source: CRM Export Q1-Q4 2023</t>
  </si>
  <si>
    <t>2023 Omni-Channel Customer Service &amp; Sales Performance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</si>
</sst>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409]d\-mmm\-yy;@"/>
    <numFmt numFmtId="165" formatCode="\$#,##0;\(\$#,##0\);\$#,##0"/>
    <numFmt numFmtId="166" formatCode="0.0"/>
    <numFmt numFmtId="167" formatCode="&quot;$&quot;#,###.0,&quot;k&quot;"/>
    <numFmt numFmtId="168" formatCode="[$$-409]#,##0_);\([$$-409]#,##0\)"/>
  </numFmts>
  <fonts count="9" x14ac:knownFonts="1">
    <font>
      <sz val="11"/>
      <color theme="1"/>
      <name val="Aptos"/>
      <family val="2"/>
      <scheme val="minor"/>
    </font>
    <font>
      <b/>
      <sz val="11"/>
      <color theme="1"/>
      <name val="Aptos"/>
      <family val="2"/>
      <scheme val="minor"/>
    </font>
    <font>
      <sz val="8"/>
      <name val="Aptos"/>
      <family val="2"/>
      <scheme val="minor"/>
    </font>
    <font>
      <sz val="11"/>
      <color theme="1"/>
      <name val="Aptos"/>
      <family val="2"/>
      <scheme val="minor"/>
    </font>
    <font>
      <sz val="10"/>
      <color theme="1"/>
      <name val="Aptos"/>
      <family val="2"/>
      <scheme val="minor"/>
    </font>
    <font>
      <sz val="11"/>
      <color theme="1"/>
      <name val="Aptos ExtraBold"/>
      <family val="2"/>
      <scheme val="major"/>
    </font>
    <font>
      <sz val="10"/>
      <color theme="1"/>
      <name val="Aptos ExtraBold"/>
      <family val="2"/>
      <scheme val="major"/>
    </font>
    <font>
      <sz val="18"/>
      <color theme="3"/>
      <name val="Aptos ExtraBold"/>
      <family val="2"/>
      <scheme val="major"/>
    </font>
    <font>
      <sz val="28"/>
      <color theme="3"/>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theme="0"/>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ck">
        <color theme="4"/>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s>
  <cellStyleXfs count="4">
    <xf numFmtId="0" fontId="0" fillId="0" borderId="0"/>
    <xf numFmtId="4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cellStyleXfs>
  <cellXfs count="5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0" fontId="0" fillId="0" borderId="0" xfId="0" pivotButton="1"/>
    <xf numFmtId="3" fontId="0" fillId="0" borderId="1" xfId="0" applyNumberFormat="1" applyBorder="1"/>
    <xf numFmtId="165" fontId="0" fillId="0" borderId="1" xfId="0" applyNumberFormat="1" applyBorder="1"/>
    <xf numFmtId="166" fontId="0" fillId="0" borderId="1" xfId="0" applyNumberFormat="1" applyBorder="1"/>
    <xf numFmtId="0" fontId="0" fillId="0" borderId="1" xfId="0" pivotButton="1" applyBorder="1"/>
    <xf numFmtId="0" fontId="0" fillId="0" borderId="0" xfId="0" applyAlignment="1">
      <alignment horizontal="left"/>
    </xf>
    <xf numFmtId="0" fontId="0" fillId="0" borderId="1" xfId="0" applyBorder="1"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9" fontId="0" fillId="0" borderId="0" xfId="2" applyFont="1"/>
    <xf numFmtId="0" fontId="0" fillId="3" borderId="0" xfId="0" applyFill="1"/>
    <xf numFmtId="0" fontId="0" fillId="5" borderId="11" xfId="0" applyFill="1" applyBorder="1"/>
    <xf numFmtId="0" fontId="5" fillId="5" borderId="12" xfId="0" applyFont="1" applyFill="1" applyBorder="1"/>
    <xf numFmtId="0" fontId="5" fillId="5" borderId="13" xfId="0" applyFont="1" applyFill="1" applyBorder="1"/>
    <xf numFmtId="0" fontId="6" fillId="5" borderId="14" xfId="0" applyFont="1" applyFill="1" applyBorder="1"/>
    <xf numFmtId="0" fontId="4" fillId="5" borderId="0" xfId="0" applyFont="1" applyFill="1"/>
    <xf numFmtId="0" fontId="4" fillId="5" borderId="15" xfId="0" applyFont="1" applyFill="1" applyBorder="1"/>
    <xf numFmtId="0" fontId="4" fillId="5" borderId="14" xfId="0" applyFont="1" applyFill="1" applyBorder="1" applyAlignment="1">
      <alignment horizontal="left" indent="3"/>
    </xf>
    <xf numFmtId="168" fontId="4" fillId="5" borderId="0" xfId="1" applyNumberFormat="1" applyFont="1" applyFill="1" applyBorder="1" applyProtection="1"/>
    <xf numFmtId="168" fontId="4" fillId="5" borderId="15" xfId="1" applyNumberFormat="1" applyFont="1" applyFill="1" applyBorder="1" applyProtection="1"/>
    <xf numFmtId="0" fontId="0" fillId="5" borderId="16" xfId="0" applyFill="1" applyBorder="1" applyAlignment="1">
      <alignment horizontal="left" indent="3"/>
    </xf>
    <xf numFmtId="168" fontId="0" fillId="5" borderId="17" xfId="1" applyNumberFormat="1" applyFont="1" applyFill="1" applyBorder="1" applyProtection="1"/>
    <xf numFmtId="168" fontId="0" fillId="5" borderId="18" xfId="1" applyNumberFormat="1" applyFont="1" applyFill="1" applyBorder="1" applyProtection="1"/>
    <xf numFmtId="0" fontId="0" fillId="3" borderId="0" xfId="0" applyFill="1" applyAlignment="1">
      <alignment horizontal="center"/>
    </xf>
    <xf numFmtId="0" fontId="0" fillId="3" borderId="15" xfId="0" applyFill="1" applyBorder="1" applyAlignment="1">
      <alignment horizontal="center"/>
    </xf>
    <xf numFmtId="0" fontId="0" fillId="3" borderId="0" xfId="0" applyFill="1"/>
    <xf numFmtId="0" fontId="0" fillId="0" borderId="0" xfId="0" applyAlignment="1">
      <alignment horizontal="center"/>
    </xf>
    <xf numFmtId="0" fontId="8" fillId="3" borderId="10" xfId="3" applyFont="1" applyFill="1" applyBorder="1" applyAlignment="1" applyProtection="1">
      <alignment horizontal="center"/>
    </xf>
    <xf numFmtId="0" fontId="0" fillId="3" borderId="0" xfId="0" applyFill="1" applyBorder="1"/>
    <xf numFmtId="0" fontId="7" fillId="2" borderId="0" xfId="3" applyFill="1"/>
  </cellXfs>
  <cellStyles count="4">
    <cellStyle name="Currency" xfId="1" builtinId="4"/>
    <cellStyle name="Normal" xfId="0" builtinId="0"/>
    <cellStyle name="Percent" xfId="2" builtinId="5"/>
    <cellStyle name="Title" xfId="3" builtinId="15"/>
  </cellStyles>
  <dxfs count="27">
    <dxf>
      <fill>
        <patternFill>
          <bgColor theme="8" tint="0.39994506668294322"/>
        </patternFill>
      </fill>
      <border>
        <left style="thin">
          <color auto="1"/>
        </left>
        <right style="thin">
          <color auto="1"/>
        </right>
        <top style="thin">
          <color auto="1"/>
        </top>
        <bottom style="thin">
          <color auto="1"/>
        </bottom>
        <vertical/>
        <horizontal/>
      </border>
    </dxf>
    <dxf>
      <fill>
        <patternFill>
          <bgColor theme="8"/>
        </patternFill>
      </fill>
    </dxf>
    <dxf>
      <fill>
        <patternFill patternType="solid">
          <bgColor theme="0" tint="-4.9989318521683403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val="0"/>
        <i val="0"/>
        <sz val="8"/>
        <color theme="1"/>
      </font>
      <fill>
        <patternFill>
          <fgColor theme="0"/>
          <bgColor theme="0"/>
        </patternFill>
      </fill>
      <border diagonalUp="0" diagonalDown="0">
        <left/>
        <right/>
        <top/>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6"/>
    </tableStyle>
    <tableStyle name="Slicer Style 2" pivot="0" table="0" count="4" xr9:uid="{43D01086-4B94-43F7-87F0-92D4ACAC54A9}">
      <tableStyleElement type="wholeTable" dxfId="25"/>
    </tableStyle>
  </tableStyles>
  <colors>
    <mruColors>
      <color rgb="FFFF8529"/>
    </mruColors>
  </colors>
  <extLst>
    <ext xmlns:x14="http://schemas.microsoft.com/office/spreadsheetml/2009/9/main" uri="{46F421CA-312F-682f-3DD2-61675219B42D}">
      <x14:dxfs count="3">
        <dxf>
          <font>
            <b/>
            <i val="0"/>
            <sz val="10"/>
            <name val="Aptos ExtraBold"/>
            <family val="2"/>
            <scheme val="major"/>
          </font>
          <fill>
            <patternFill>
              <bgColor theme="8"/>
            </patternFill>
          </fill>
          <border>
            <left style="thin">
              <color auto="1"/>
            </left>
            <right style="thin">
              <color auto="1"/>
            </right>
            <top style="thin">
              <color auto="1"/>
            </top>
            <bottom style="thin">
              <color auto="1"/>
            </bottom>
          </border>
        </dxf>
        <dxf>
          <font>
            <b/>
            <i val="0"/>
            <sz val="10"/>
            <color theme="1"/>
            <name val="Aptos ExtraBold"/>
            <family val="2"/>
            <scheme val="major"/>
          </font>
          <fill>
            <patternFill>
              <bgColor theme="8"/>
            </patternFill>
          </fill>
          <border>
            <left style="thin">
              <color auto="1"/>
            </left>
            <right style="thin">
              <color auto="1"/>
            </right>
            <top style="thin">
              <color auto="1"/>
            </top>
            <bottom style="thin">
              <color auto="1"/>
            </bottom>
          </border>
        </dxf>
        <dxf>
          <font>
            <b val="0"/>
            <i val="0"/>
            <sz val="8"/>
          </font>
          <fill>
            <patternFill>
              <bgColor theme="0" tint="-4.9989318521683403E-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Structure" Target="richData/rdrichvaluestructur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Excellence &amp; Operational Performance Dashboard.xlsx]Pivot!Week days Trend</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Pivot!$I$24</c:f>
              <c:strCache>
                <c:ptCount val="1"/>
                <c:pt idx="0">
                  <c:v>Total</c:v>
                </c:pt>
              </c:strCache>
            </c:strRef>
          </c:tx>
          <c:spPr>
            <a:solidFill>
              <a:schemeClr val="accent5"/>
            </a:solidFill>
            <a:ln>
              <a:noFill/>
            </a:ln>
            <a:effectLst>
              <a:outerShdw blurRad="50800" dist="50800" dir="5400000" algn="ctr" rotWithShape="0">
                <a:schemeClr val="bg1"/>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Pivot!$H$25:$H$32</c:f>
              <c:strCache>
                <c:ptCount val="7"/>
                <c:pt idx="0">
                  <c:v>Saturday</c:v>
                </c:pt>
                <c:pt idx="1">
                  <c:v>Friday</c:v>
                </c:pt>
                <c:pt idx="2">
                  <c:v>Thursday</c:v>
                </c:pt>
                <c:pt idx="3">
                  <c:v>Wednesday</c:v>
                </c:pt>
                <c:pt idx="4">
                  <c:v>Tuesday</c:v>
                </c:pt>
                <c:pt idx="5">
                  <c:v>Monday</c:v>
                </c:pt>
                <c:pt idx="6">
                  <c:v>Sunday</c:v>
                </c:pt>
              </c:strCache>
            </c:strRef>
          </c:cat>
          <c:val>
            <c:numRef>
              <c:f>Pivot!$I$25:$I$32</c:f>
              <c:numCache>
                <c:formatCode>#,##0</c:formatCode>
                <c:ptCount val="7"/>
                <c:pt idx="0">
                  <c:v>25</c:v>
                </c:pt>
                <c:pt idx="1">
                  <c:v>27</c:v>
                </c:pt>
                <c:pt idx="2">
                  <c:v>27</c:v>
                </c:pt>
                <c:pt idx="3">
                  <c:v>38</c:v>
                </c:pt>
                <c:pt idx="4">
                  <c:v>26</c:v>
                </c:pt>
                <c:pt idx="5">
                  <c:v>34</c:v>
                </c:pt>
                <c:pt idx="6">
                  <c:v>30</c:v>
                </c:pt>
              </c:numCache>
            </c:numRef>
          </c:val>
          <c:extLst>
            <c:ext xmlns:c16="http://schemas.microsoft.com/office/drawing/2014/chart" uri="{C3380CC4-5D6E-409C-BE32-E72D297353CC}">
              <c16:uniqueId val="{00000000-3A27-4235-A8E3-4DE590C074C7}"/>
            </c:ext>
          </c:extLst>
        </c:ser>
        <c:dLbls>
          <c:dLblPos val="outEnd"/>
          <c:showLegendKey val="0"/>
          <c:showVal val="1"/>
          <c:showCatName val="0"/>
          <c:showSerName val="0"/>
          <c:showPercent val="0"/>
          <c:showBubbleSize val="0"/>
        </c:dLbls>
        <c:gapWidth val="25"/>
        <c:axId val="678957551"/>
        <c:axId val="678956111"/>
      </c:barChart>
      <c:catAx>
        <c:axId val="6789575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56111"/>
        <c:crosses val="autoZero"/>
        <c:auto val="1"/>
        <c:lblAlgn val="ctr"/>
        <c:lblOffset val="100"/>
        <c:noMultiLvlLbl val="0"/>
      </c:catAx>
      <c:valAx>
        <c:axId val="678956111"/>
        <c:scaling>
          <c:orientation val="minMax"/>
        </c:scaling>
        <c:delete val="1"/>
        <c:axPos val="b"/>
        <c:numFmt formatCode="#,##0" sourceLinked="1"/>
        <c:majorTickMark val="out"/>
        <c:minorTickMark val="none"/>
        <c:tickLblPos val="nextTo"/>
        <c:crossAx val="67895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Excellence &amp; Operational Performance Dashboard.xlsx]Pivot!Monthly Trend</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innerShdw blurRad="63500" dist="50800" dir="16200000">
                    <a:schemeClr val="accent5">
                      <a:lumMod val="60000"/>
                      <a:lumOff val="40000"/>
                      <a:alpha val="45000"/>
                    </a:schemeClr>
                  </a:innerShdw>
                </a:effectLst>
                <a:latin typeface="+mn-lt"/>
                <a:ea typeface="+mn-ea"/>
                <a:cs typeface="+mn-cs"/>
              </a:defRPr>
            </a:pPr>
            <a:r>
              <a:rPr lang="en-US" sz="1800" b="1" i="0" u="none" strike="noStrike" kern="1200" spc="0" baseline="0">
                <a:solidFill>
                  <a:schemeClr val="accent5"/>
                </a:solidFill>
                <a:effectLst>
                  <a:innerShdw blurRad="63500" dist="50800" dir="16200000">
                    <a:schemeClr val="accent5">
                      <a:lumMod val="60000"/>
                      <a:lumOff val="40000"/>
                      <a:alpha val="45000"/>
                    </a:schemeClr>
                  </a:innerShdw>
                </a:effectLst>
                <a:latin typeface="+mj-lt"/>
                <a:ea typeface="+mn-ea"/>
                <a:cs typeface="+mn-cs"/>
              </a:rPr>
              <a:t>Peak Call Volumes</a:t>
            </a:r>
          </a:p>
        </c:rich>
      </c:tx>
      <c:layout>
        <c:manualLayout>
          <c:xMode val="edge"/>
          <c:yMode val="edge"/>
          <c:x val="2.6473096318910157E-2"/>
          <c:y val="2.7420744332866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innerShdw blurRad="63500" dist="50800" dir="16200000">
                  <a:schemeClr val="accent5">
                    <a:lumMod val="60000"/>
                    <a:lumOff val="40000"/>
                    <a:alpha val="45000"/>
                  </a:schemeClr>
                </a:innerShdw>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5">
                  <a:lumMod val="40000"/>
                  <a:lumOff val="60000"/>
                  <a:alpha val="50000"/>
                </a:schemeClr>
              </a:gs>
              <a:gs pos="39000">
                <a:schemeClr val="accent5">
                  <a:lumMod val="90000"/>
                  <a:lumOff val="10000"/>
                </a:schemeClr>
              </a:gs>
            </a:gsLst>
            <a:lin ang="5400000" scaled="1"/>
            <a:tileRect/>
          </a:gradFill>
          <a:ln>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pivotFmt>
      <c:pivotFmt>
        <c:idx val="7"/>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pivotFmt>
      <c:pivotFmt>
        <c:idx val="8"/>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pivotFmt>
      <c:pivotFmt>
        <c:idx val="9"/>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pivotFmt>
    </c:pivotFmts>
    <c:plotArea>
      <c:layout/>
      <c:areaChart>
        <c:grouping val="standard"/>
        <c:varyColors val="0"/>
        <c:ser>
          <c:idx val="1"/>
          <c:order val="1"/>
          <c:tx>
            <c:strRef>
              <c:f>Pivot!$C$24</c:f>
              <c:strCache>
                <c:ptCount val="1"/>
                <c:pt idx="0">
                  <c:v>Call Count2</c:v>
                </c:pt>
              </c:strCache>
            </c:strRef>
          </c:tx>
          <c:spPr>
            <a:gradFill flip="none" rotWithShape="1">
              <a:gsLst>
                <a:gs pos="100000">
                  <a:schemeClr val="accent5">
                    <a:lumMod val="40000"/>
                    <a:lumOff val="60000"/>
                    <a:alpha val="50000"/>
                  </a:schemeClr>
                </a:gs>
                <a:gs pos="39000">
                  <a:schemeClr val="accent5">
                    <a:lumMod val="90000"/>
                    <a:lumOff val="10000"/>
                  </a:schemeClr>
                </a:gs>
              </a:gsLst>
              <a:lin ang="5400000" scaled="1"/>
              <a:tileRect/>
            </a:gradFill>
            <a:ln>
              <a:gradFill>
                <a:gsLst>
                  <a:gs pos="1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Pivot!$C$25:$C$37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DEF7-4466-A873-635219F06334}"/>
            </c:ext>
          </c:extLst>
        </c:ser>
        <c:dLbls>
          <c:showLegendKey val="0"/>
          <c:showVal val="0"/>
          <c:showCatName val="0"/>
          <c:showSerName val="0"/>
          <c:showPercent val="0"/>
          <c:showBubbleSize val="0"/>
        </c:dLbls>
        <c:axId val="940736415"/>
        <c:axId val="940736895"/>
      </c:areaChart>
      <c:lineChart>
        <c:grouping val="standard"/>
        <c:varyColors val="0"/>
        <c:ser>
          <c:idx val="0"/>
          <c:order val="0"/>
          <c:tx>
            <c:strRef>
              <c:f>Pivot!$B$24</c:f>
              <c:strCache>
                <c:ptCount val="1"/>
                <c:pt idx="0">
                  <c:v>Call Count</c:v>
                </c:pt>
              </c:strCache>
            </c:strRef>
          </c:tx>
          <c:spPr>
            <a:ln w="28575" cap="rnd">
              <a:solidFill>
                <a:schemeClr val="accent5"/>
              </a:solidFill>
              <a:round/>
            </a:ln>
            <a:effectLst/>
          </c:spPr>
          <c:marker>
            <c:symbol val="circle"/>
            <c:size val="7"/>
            <c:spPr>
              <a:solidFill>
                <a:schemeClr val="bg1"/>
              </a:solidFill>
              <a:ln w="25400">
                <a:solidFill>
                  <a:schemeClr val="tx1">
                    <a:alpha val="92000"/>
                  </a:schemeClr>
                </a:solidFill>
              </a:ln>
              <a:effectLst/>
            </c:spPr>
          </c:marker>
          <c:cat>
            <c:strRef>
              <c:f>Pivot!$A$25:$A$37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Pivot!$B$25:$B$37</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DEF7-4466-A873-635219F06334}"/>
            </c:ext>
          </c:extLst>
        </c:ser>
        <c:dLbls>
          <c:showLegendKey val="0"/>
          <c:showVal val="0"/>
          <c:showCatName val="0"/>
          <c:showSerName val="0"/>
          <c:showPercent val="0"/>
          <c:showBubbleSize val="0"/>
        </c:dLbls>
        <c:marker val="1"/>
        <c:smooth val="0"/>
        <c:axId val="940736415"/>
        <c:axId val="940736895"/>
      </c:lineChart>
      <c:catAx>
        <c:axId val="9407364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36895"/>
        <c:crosses val="autoZero"/>
        <c:auto val="1"/>
        <c:lblAlgn val="ctr"/>
        <c:lblOffset val="100"/>
        <c:noMultiLvlLbl val="0"/>
      </c:catAx>
      <c:valAx>
        <c:axId val="9407368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3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latin typeface="+mj-lt"/>
              </a:rPr>
              <a:t>Calls</a:t>
            </a:r>
          </a:p>
        </c:rich>
      </c:tx>
      <c:layout>
        <c:manualLayout>
          <c:xMode val="edge"/>
          <c:yMode val="edge"/>
          <c:x val="2.3375441476343684E-2"/>
          <c:y val="2.56924832290798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Pivot!$G$48:$G$52</c:f>
              <c:strCache>
                <c:ptCount val="5"/>
                <c:pt idx="0">
                  <c:v>R01</c:v>
                </c:pt>
                <c:pt idx="1">
                  <c:v>R02</c:v>
                </c:pt>
                <c:pt idx="2">
                  <c:v>R03</c:v>
                </c:pt>
                <c:pt idx="3">
                  <c:v>R04</c:v>
                </c:pt>
                <c:pt idx="4">
                  <c:v>R05</c:v>
                </c:pt>
              </c:strCache>
            </c:strRef>
          </c:cat>
          <c:val>
            <c:numRef>
              <c:f>Pivot!$H$48:$H$52</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A2A-4241-8272-DB908EF63EE6}"/>
            </c:ext>
          </c:extLst>
        </c:ser>
        <c:ser>
          <c:idx val="1"/>
          <c:order val="1"/>
          <c:tx>
            <c:strRef>
              <c:f>Pivot!$J$47</c:f>
              <c:strCache>
                <c:ptCount val="1"/>
                <c:pt idx="0">
                  <c:v>Sel.Calls</c:v>
                </c:pt>
              </c:strCache>
            </c:strRef>
          </c:tx>
          <c:spPr>
            <a:gradFill>
              <a:gsLst>
                <a:gs pos="79000">
                  <a:schemeClr val="accent5">
                    <a:lumMod val="60000"/>
                    <a:lumOff val="40000"/>
                  </a:schemeClr>
                </a:gs>
                <a:gs pos="86000">
                  <a:schemeClr val="accent5">
                    <a:lumMod val="96000"/>
                    <a:lumOff val="4000"/>
                  </a:schemeClr>
                </a:gs>
              </a:gsLst>
              <a:path path="circle">
                <a:fillToRect t="100000" r="100000"/>
              </a:path>
            </a:gradFill>
            <a:ln>
              <a:noFill/>
            </a:ln>
            <a:effectLst/>
          </c:spPr>
          <c:invertIfNegative val="0"/>
          <c:dPt>
            <c:idx val="0"/>
            <c:invertIfNegative val="0"/>
            <c:bubble3D val="0"/>
            <c:spPr>
              <a:gradFill flip="none" rotWithShape="1">
                <a:gsLst>
                  <a:gs pos="79000">
                    <a:schemeClr val="accent5">
                      <a:lumMod val="60000"/>
                      <a:lumOff val="40000"/>
                    </a:schemeClr>
                  </a:gs>
                  <a:gs pos="86000">
                    <a:schemeClr val="accent5">
                      <a:lumMod val="96000"/>
                      <a:lumOff val="4000"/>
                    </a:schemeClr>
                  </a:gs>
                </a:gsLst>
                <a:path path="circle">
                  <a:fillToRect r="100000" b="100000"/>
                </a:path>
                <a:tileRect l="-100000" t="-100000"/>
              </a:gradFill>
              <a:ln>
                <a:noFill/>
              </a:ln>
              <a:effectLst/>
            </c:spPr>
            <c:extLst>
              <c:ext xmlns:c16="http://schemas.microsoft.com/office/drawing/2014/chart" uri="{C3380CC4-5D6E-409C-BE32-E72D297353CC}">
                <c16:uniqueId val="{00000004-8A2A-4241-8272-DB908EF63EE6}"/>
              </c:ext>
            </c:extLst>
          </c:dPt>
          <c:dPt>
            <c:idx val="2"/>
            <c:invertIfNegative val="0"/>
            <c:bubble3D val="0"/>
            <c:spPr>
              <a:gradFill flip="none" rotWithShape="1">
                <a:gsLst>
                  <a:gs pos="79000">
                    <a:schemeClr val="accent5">
                      <a:lumMod val="60000"/>
                      <a:lumOff val="40000"/>
                    </a:schemeClr>
                  </a:gs>
                  <a:gs pos="86000">
                    <a:schemeClr val="accent5">
                      <a:lumMod val="96000"/>
                      <a:lumOff val="4000"/>
                    </a:schemeClr>
                  </a:gs>
                </a:gsLst>
                <a:path path="circle">
                  <a:fillToRect t="100000" r="100000"/>
                </a:path>
                <a:tileRect l="-100000" b="-100000"/>
              </a:gradFill>
              <a:ln>
                <a:noFill/>
              </a:ln>
              <a:effectLst/>
            </c:spPr>
            <c:extLst>
              <c:ext xmlns:c16="http://schemas.microsoft.com/office/drawing/2014/chart" uri="{C3380CC4-5D6E-409C-BE32-E72D297353CC}">
                <c16:uniqueId val="{00000002-8A2A-4241-8272-DB908EF63EE6}"/>
              </c:ext>
            </c:extLst>
          </c:dPt>
          <c:dLbls>
            <c:delete val="1"/>
          </c:dLbls>
          <c:val>
            <c:numRef>
              <c:f>Pivot!$J$48:$J$52</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3-8A2A-4241-8272-DB908EF63EE6}"/>
            </c:ext>
          </c:extLst>
        </c:ser>
        <c:dLbls>
          <c:dLblPos val="outEnd"/>
          <c:showLegendKey val="0"/>
          <c:showVal val="1"/>
          <c:showCatName val="0"/>
          <c:showSerName val="0"/>
          <c:showPercent val="0"/>
          <c:showBubbleSize val="0"/>
        </c:dLbls>
        <c:gapWidth val="25"/>
        <c:overlap val="100"/>
        <c:axId val="863603935"/>
        <c:axId val="863604415"/>
      </c:barChart>
      <c:catAx>
        <c:axId val="8636039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04415"/>
        <c:crosses val="autoZero"/>
        <c:auto val="1"/>
        <c:lblAlgn val="ctr"/>
        <c:lblOffset val="100"/>
        <c:noMultiLvlLbl val="0"/>
      </c:catAx>
      <c:valAx>
        <c:axId val="863604415"/>
        <c:scaling>
          <c:orientation val="minMax"/>
          <c:min val="0"/>
        </c:scaling>
        <c:delete val="1"/>
        <c:axPos val="t"/>
        <c:numFmt formatCode="#,##0" sourceLinked="1"/>
        <c:majorTickMark val="out"/>
        <c:minorTickMark val="none"/>
        <c:tickLblPos val="nextTo"/>
        <c:crossAx val="86360393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r>
              <a:rPr lang="en-US" b="1">
                <a:solidFill>
                  <a:srgbClr val="00B050"/>
                </a:solidFill>
                <a:latin typeface="+mj-lt"/>
              </a:rPr>
              <a:t>Amount</a:t>
            </a:r>
          </a:p>
        </c:rich>
      </c:tx>
      <c:layout>
        <c:manualLayout>
          <c:xMode val="edge"/>
          <c:yMode val="edge"/>
          <c:x val="2.5332993068095663E-2"/>
          <c:y val="2.56512972083174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B050"/>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Pivot!$G$48:$G$52</c:f>
              <c:strCache>
                <c:ptCount val="5"/>
                <c:pt idx="0">
                  <c:v>R01</c:v>
                </c:pt>
                <c:pt idx="1">
                  <c:v>R02</c:v>
                </c:pt>
                <c:pt idx="2">
                  <c:v>R03</c:v>
                </c:pt>
                <c:pt idx="3">
                  <c:v>R04</c:v>
                </c:pt>
                <c:pt idx="4">
                  <c:v>R05</c:v>
                </c:pt>
              </c:strCache>
            </c:strRef>
          </c:cat>
          <c:val>
            <c:numRef>
              <c:f>Pivot!$I$48:$I$52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DEC8-4DD4-AE5F-27D1630CE370}"/>
            </c:ext>
          </c:extLst>
        </c:ser>
        <c:ser>
          <c:idx val="1"/>
          <c:order val="1"/>
          <c:tx>
            <c:strRef>
              <c:f>Pivot!$K$47</c:f>
              <c:strCache>
                <c:ptCount val="1"/>
                <c:pt idx="0">
                  <c:v>Sel.Amount</c:v>
                </c:pt>
              </c:strCache>
            </c:strRef>
          </c:tx>
          <c:spPr>
            <a:gradFill>
              <a:gsLst>
                <a:gs pos="51000">
                  <a:schemeClr val="accent3">
                    <a:lumMod val="75000"/>
                  </a:schemeClr>
                </a:gs>
                <a:gs pos="100000">
                  <a:schemeClr val="accent3">
                    <a:lumMod val="50000"/>
                  </a:schemeClr>
                </a:gs>
              </a:gsLst>
              <a:path path="circle">
                <a:fillToRect t="100000" r="100000"/>
              </a:path>
            </a:gradFill>
            <a:ln>
              <a:noFill/>
            </a:ln>
            <a:effectLst/>
          </c:spPr>
          <c:invertIfNegative val="0"/>
          <c:dPt>
            <c:idx val="2"/>
            <c:invertIfNegative val="0"/>
            <c:bubble3D val="0"/>
            <c:spPr>
              <a:gradFill>
                <a:gsLst>
                  <a:gs pos="51000">
                    <a:schemeClr val="accent3">
                      <a:lumMod val="75000"/>
                    </a:schemeClr>
                  </a:gs>
                  <a:gs pos="100000">
                    <a:schemeClr val="accent3">
                      <a:lumMod val="50000"/>
                    </a:schemeClr>
                  </a:gs>
                </a:gsLst>
                <a:path path="circle">
                  <a:fillToRect t="100000" r="100000"/>
                </a:path>
              </a:gradFill>
              <a:ln>
                <a:noFill/>
              </a:ln>
              <a:effectLst/>
            </c:spPr>
            <c:extLst>
              <c:ext xmlns:c16="http://schemas.microsoft.com/office/drawing/2014/chart" uri="{C3380CC4-5D6E-409C-BE32-E72D297353CC}">
                <c16:uniqueId val="{00000002-DEC8-4DD4-AE5F-27D1630CE370}"/>
              </c:ext>
            </c:extLst>
          </c:dPt>
          <c:val>
            <c:numRef>
              <c:f>Pivot!$K$48:$K$52</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3-DEC8-4DD4-AE5F-27D1630CE370}"/>
            </c:ext>
          </c:extLst>
        </c:ser>
        <c:dLbls>
          <c:showLegendKey val="0"/>
          <c:showVal val="0"/>
          <c:showCatName val="0"/>
          <c:showSerName val="0"/>
          <c:showPercent val="0"/>
          <c:showBubbleSize val="0"/>
        </c:dLbls>
        <c:gapWidth val="25"/>
        <c:overlap val="100"/>
        <c:axId val="863603935"/>
        <c:axId val="863604415"/>
      </c:barChart>
      <c:catAx>
        <c:axId val="863603935"/>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604415"/>
        <c:crosses val="autoZero"/>
        <c:auto val="1"/>
        <c:lblAlgn val="ctr"/>
        <c:lblOffset val="100"/>
        <c:noMultiLvlLbl val="0"/>
      </c:catAx>
      <c:valAx>
        <c:axId val="863604415"/>
        <c:scaling>
          <c:orientation val="minMax"/>
        </c:scaling>
        <c:delete val="1"/>
        <c:axPos val="t"/>
        <c:numFmt formatCode="&quot;$&quot;#,###.0,&quot;k&quot;" sourceLinked="1"/>
        <c:majorTickMark val="out"/>
        <c:minorTickMark val="none"/>
        <c:tickLblPos val="nextTo"/>
        <c:crossAx val="8636039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Excellence &amp; Operational Performance Dashboard.xlsx]Pivot!Female Vs Male call count Pivot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latin typeface="+mj-lt"/>
              </a:rPr>
              <a:t>Female</a:t>
            </a:r>
            <a:r>
              <a:rPr lang="en-US">
                <a:latin typeface="+mj-lt"/>
              </a:rPr>
              <a:t> Vs </a:t>
            </a:r>
            <a:r>
              <a:rPr lang="en-US">
                <a:solidFill>
                  <a:srgbClr val="00B050"/>
                </a:solidFill>
                <a:latin typeface="+mj-lt"/>
              </a:rPr>
              <a:t>Male</a:t>
            </a:r>
            <a:r>
              <a:rPr lang="en-US">
                <a:latin typeface="+mj-lt"/>
              </a:rPr>
              <a:t> Call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8529"/>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3">
              <a:lumMod val="75000"/>
            </a:schemeClr>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Pivot!$B$67:$B$68</c:f>
              <c:strCache>
                <c:ptCount val="1"/>
                <c:pt idx="0">
                  <c:v>Female</c:v>
                </c:pt>
              </c:strCache>
            </c:strRef>
          </c:tx>
          <c:spPr>
            <a:solidFill>
              <a:srgbClr val="FF8529"/>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accent5"/>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Pivot!$A$69:$A$72</c:f>
              <c:strCache>
                <c:ptCount val="3"/>
                <c:pt idx="0">
                  <c:v>Cincinnati</c:v>
                </c:pt>
                <c:pt idx="1">
                  <c:v>Cleveland</c:v>
                </c:pt>
                <c:pt idx="2">
                  <c:v>Columbus</c:v>
                </c:pt>
              </c:strCache>
            </c:strRef>
          </c:cat>
          <c:val>
            <c:numRef>
              <c:f>Pivot!$B$69:$B$72</c:f>
              <c:numCache>
                <c:formatCode>#,##0</c:formatCode>
                <c:ptCount val="3"/>
                <c:pt idx="0">
                  <c:v>144</c:v>
                </c:pt>
                <c:pt idx="1">
                  <c:v>326</c:v>
                </c:pt>
                <c:pt idx="2">
                  <c:v>129</c:v>
                </c:pt>
              </c:numCache>
            </c:numRef>
          </c:val>
          <c:extLst>
            <c:ext xmlns:c16="http://schemas.microsoft.com/office/drawing/2014/chart" uri="{C3380CC4-5D6E-409C-BE32-E72D297353CC}">
              <c16:uniqueId val="{00000000-4861-48A1-9F81-9DFD1B250C50}"/>
            </c:ext>
          </c:extLst>
        </c:ser>
        <c:ser>
          <c:idx val="1"/>
          <c:order val="1"/>
          <c:tx>
            <c:strRef>
              <c:f>Pivot!$C$67:$C$68</c:f>
              <c:strCache>
                <c:ptCount val="1"/>
                <c:pt idx="0">
                  <c:v>Male</c:v>
                </c:pt>
              </c:strCache>
            </c:strRef>
          </c:tx>
          <c:spPr>
            <a:solidFill>
              <a:schemeClr val="accent3">
                <a:lumMod val="75000"/>
              </a:schemeClr>
            </a:solidFill>
            <a:ln>
              <a:noFill/>
            </a:ln>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rgbClr val="00B05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Pivot!$A$69:$A$72</c:f>
              <c:strCache>
                <c:ptCount val="3"/>
                <c:pt idx="0">
                  <c:v>Cincinnati</c:v>
                </c:pt>
                <c:pt idx="1">
                  <c:v>Cleveland</c:v>
                </c:pt>
                <c:pt idx="2">
                  <c:v>Columbus</c:v>
                </c:pt>
              </c:strCache>
            </c:strRef>
          </c:cat>
          <c:val>
            <c:numRef>
              <c:f>Pivot!$C$69:$C$72</c:f>
              <c:numCache>
                <c:formatCode>#,##0</c:formatCode>
                <c:ptCount val="3"/>
                <c:pt idx="0">
                  <c:v>132</c:v>
                </c:pt>
                <c:pt idx="1">
                  <c:v>63</c:v>
                </c:pt>
                <c:pt idx="2">
                  <c:v>206</c:v>
                </c:pt>
              </c:numCache>
            </c:numRef>
          </c:val>
          <c:extLst>
            <c:ext xmlns:c16="http://schemas.microsoft.com/office/drawing/2014/chart" uri="{C3380CC4-5D6E-409C-BE32-E72D297353CC}">
              <c16:uniqueId val="{00000001-4861-48A1-9F81-9DFD1B250C50}"/>
            </c:ext>
          </c:extLst>
        </c:ser>
        <c:dLbls>
          <c:dLblPos val="ctr"/>
          <c:showLegendKey val="0"/>
          <c:showVal val="1"/>
          <c:showCatName val="0"/>
          <c:showSerName val="0"/>
          <c:showPercent val="0"/>
          <c:showBubbleSize val="0"/>
        </c:dLbls>
        <c:gapWidth val="25"/>
        <c:overlap val="100"/>
        <c:axId val="1038713855"/>
        <c:axId val="1038710975"/>
      </c:barChart>
      <c:catAx>
        <c:axId val="103871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8710975"/>
        <c:crosses val="autoZero"/>
        <c:auto val="1"/>
        <c:lblAlgn val="ctr"/>
        <c:lblOffset val="100"/>
        <c:noMultiLvlLbl val="0"/>
      </c:catAx>
      <c:valAx>
        <c:axId val="1038710975"/>
        <c:scaling>
          <c:orientation val="minMax"/>
        </c:scaling>
        <c:delete val="1"/>
        <c:axPos val="l"/>
        <c:numFmt formatCode="0%" sourceLinked="1"/>
        <c:majorTickMark val="none"/>
        <c:minorTickMark val="none"/>
        <c:tickLblPos val="nextTo"/>
        <c:crossAx val="1038713855"/>
        <c:crosses val="autoZero"/>
        <c:crossBetween val="between"/>
      </c:valAx>
      <c:spPr>
        <a:noFill/>
        <a:ln>
          <a:noFill/>
        </a:ln>
        <a:effectLst>
          <a:outerShdw blurRad="50800" dir="5400000" sx="25000" sy="25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Service Excellence &amp; Operational Performance Dashboard.xlsx]Pivot!rep satisfaction</c:name>
    <c:fmtId val="8"/>
  </c:pivotSource>
  <c:chart>
    <c:title>
      <c:tx>
        <c:rich>
          <a:bodyPr rot="0" spcFirstLastPara="1" vertOverflow="ellipsis" vert="horz" wrap="square" anchor="ctr" anchorCtr="1"/>
          <a:lstStyle/>
          <a:p>
            <a:pPr>
              <a:defRPr sz="1400" b="0" i="0" u="none" strike="noStrike" kern="1200" spc="0" baseline="0">
                <a:solidFill>
                  <a:schemeClr val="bg2">
                    <a:lumMod val="75000"/>
                  </a:schemeClr>
                </a:solidFill>
                <a:latin typeface="+mj-lt"/>
                <a:ea typeface="+mn-ea"/>
                <a:cs typeface="+mn-cs"/>
              </a:defRPr>
            </a:pPr>
            <a:r>
              <a:rPr lang="en-US" b="1">
                <a:solidFill>
                  <a:schemeClr val="bg2">
                    <a:lumMod val="50000"/>
                  </a:schemeClr>
                </a:solidFill>
                <a:latin typeface="+mj-lt"/>
              </a:rPr>
              <a:t>Rating</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2">
                  <a:lumMod val="75000"/>
                </a:schemeClr>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Pivot!$B$78</c:f>
              <c:strCache>
                <c:ptCount val="1"/>
                <c:pt idx="0">
                  <c:v>Total</c:v>
                </c:pt>
              </c:strCache>
            </c:strRef>
          </c:tx>
          <c:spPr>
            <a:solidFill>
              <a:schemeClr val="bg2">
                <a:lumMod val="50000"/>
              </a:schemeClr>
            </a:solidFill>
            <a:ln>
              <a:noFill/>
            </a:ln>
            <a:effectLst/>
          </c:spPr>
          <c:invertIfNegative val="0"/>
          <c:cat>
            <c:strRef>
              <c:f>Pivot!$A$79:$A$85</c:f>
              <c:strCache>
                <c:ptCount val="6"/>
                <c:pt idx="0">
                  <c:v>0</c:v>
                </c:pt>
                <c:pt idx="1">
                  <c:v>1</c:v>
                </c:pt>
                <c:pt idx="2">
                  <c:v>2</c:v>
                </c:pt>
                <c:pt idx="3">
                  <c:v>3</c:v>
                </c:pt>
                <c:pt idx="4">
                  <c:v>4</c:v>
                </c:pt>
                <c:pt idx="5">
                  <c:v>5</c:v>
                </c:pt>
              </c:strCache>
            </c:strRef>
          </c:cat>
          <c:val>
            <c:numRef>
              <c:f>Pivot!$B$79:$B$85</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76D4-4345-8963-E3A69DBE4DF2}"/>
            </c:ext>
          </c:extLst>
        </c:ser>
        <c:dLbls>
          <c:showLegendKey val="0"/>
          <c:showVal val="0"/>
          <c:showCatName val="0"/>
          <c:showSerName val="0"/>
          <c:showPercent val="0"/>
          <c:showBubbleSize val="0"/>
        </c:dLbls>
        <c:gapWidth val="10"/>
        <c:overlap val="-27"/>
        <c:axId val="966492335"/>
        <c:axId val="966495695"/>
      </c:barChart>
      <c:catAx>
        <c:axId val="966492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5695"/>
        <c:crosses val="autoZero"/>
        <c:auto val="1"/>
        <c:lblAlgn val="ctr"/>
        <c:lblOffset val="100"/>
        <c:tickLblSkip val="1"/>
        <c:noMultiLvlLbl val="0"/>
      </c:catAx>
      <c:valAx>
        <c:axId val="96649569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492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sv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11" Type="http://schemas.openxmlformats.org/officeDocument/2006/relationships/image" Target="../media/image26.pn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oneCell">
    <xdr:from>
      <xdr:col>12</xdr:col>
      <xdr:colOff>156106</xdr:colOff>
      <xdr:row>18</xdr:row>
      <xdr:rowOff>101205</xdr:rowOff>
    </xdr:from>
    <xdr:to>
      <xdr:col>14</xdr:col>
      <xdr:colOff>102526</xdr:colOff>
      <xdr:row>28</xdr:row>
      <xdr:rowOff>130969</xdr:rowOff>
    </xdr:to>
    <mc:AlternateContent xmlns:mc="http://schemas.openxmlformats.org/markup-compatibility/2006">
      <mc:Choice xmlns:a14="http://schemas.microsoft.com/office/drawing/2010/main" Requires="a14">
        <xdr:graphicFrame macro="">
          <xdr:nvGraphicFramePr>
            <xdr:cNvPr id="55" name="Representative">
              <a:extLst>
                <a:ext uri="{FF2B5EF4-FFF2-40B4-BE49-F238E27FC236}">
                  <a16:creationId xmlns:a16="http://schemas.microsoft.com/office/drawing/2014/main" id="{DFCC3097-4BBE-428D-BA23-BFCE75FFDC0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6844017" y="3149205"/>
              <a:ext cx="1239099" cy="1866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538163</xdr:colOff>
      <xdr:row>5</xdr:row>
      <xdr:rowOff>80961</xdr:rowOff>
    </xdr:from>
    <xdr:to>
      <xdr:col>5</xdr:col>
      <xdr:colOff>109538</xdr:colOff>
      <xdr:row>6</xdr:row>
      <xdr:rowOff>100011</xdr:rowOff>
    </xdr:to>
    <xdr:sp macro="" textlink="">
      <xdr:nvSpPr>
        <xdr:cNvPr id="3" name="TextBox 2">
          <a:extLst>
            <a:ext uri="{FF2B5EF4-FFF2-40B4-BE49-F238E27FC236}">
              <a16:creationId xmlns:a16="http://schemas.microsoft.com/office/drawing/2014/main" id="{127DA6E5-26C3-DB2F-FC1A-03156CECA688}"/>
            </a:ext>
          </a:extLst>
        </xdr:cNvPr>
        <xdr:cNvSpPr txBox="1"/>
      </xdr:nvSpPr>
      <xdr:spPr>
        <a:xfrm>
          <a:off x="1407319" y="741759"/>
          <a:ext cx="869157" cy="197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100">
            <a:solidFill>
              <a:schemeClr val="bg1">
                <a:lumMod val="95000"/>
              </a:schemeClr>
            </a:solidFill>
            <a:latin typeface="+mj-lt"/>
          </a:endParaRPr>
        </a:p>
      </xdr:txBody>
    </xdr:sp>
    <xdr:clientData/>
  </xdr:twoCellAnchor>
  <xdr:twoCellAnchor>
    <xdr:from>
      <xdr:col>2</xdr:col>
      <xdr:colOff>0</xdr:colOff>
      <xdr:row>12</xdr:row>
      <xdr:rowOff>0</xdr:rowOff>
    </xdr:from>
    <xdr:to>
      <xdr:col>4</xdr:col>
      <xdr:colOff>457200</xdr:colOff>
      <xdr:row>16</xdr:row>
      <xdr:rowOff>76200</xdr:rowOff>
    </xdr:to>
    <xdr:sp macro="" textlink="Pivot!B4">
      <xdr:nvSpPr>
        <xdr:cNvPr id="31" name="Rectangle 30">
          <a:extLst>
            <a:ext uri="{FF2B5EF4-FFF2-40B4-BE49-F238E27FC236}">
              <a16:creationId xmlns:a16="http://schemas.microsoft.com/office/drawing/2014/main" id="{A72816ED-AD35-4C93-994F-77D1D158AF4D}"/>
            </a:ext>
          </a:extLst>
        </xdr:cNvPr>
        <xdr:cNvSpPr/>
      </xdr:nvSpPr>
      <xdr:spPr>
        <a:xfrm>
          <a:off x="220266" y="1910954"/>
          <a:ext cx="1754982" cy="790575"/>
        </a:xfrm>
        <a:prstGeom prst="rect">
          <a:avLst/>
        </a:prstGeom>
        <a:solidFill>
          <a:schemeClr val="accent1">
            <a:lumMod val="75000"/>
          </a:schemeClr>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EE00220-91A9-4C73-BE44-CB624C129359}" type="TxLink">
            <a:rPr lang="en-US" sz="2400" b="0" i="0" u="none" strike="noStrike">
              <a:solidFill>
                <a:schemeClr val="bg1"/>
              </a:solidFill>
              <a:latin typeface="+mj-lt"/>
              <a:ea typeface="+mn-ea"/>
              <a:cs typeface="+mn-cs"/>
            </a:rPr>
            <a:pPr marL="0" indent="0" algn="ctr"/>
            <a:t>$96,623</a:t>
          </a:fld>
          <a:endParaRPr lang="en-US" sz="2400" b="0" i="0" u="none" strike="noStrike">
            <a:solidFill>
              <a:schemeClr val="bg1"/>
            </a:solidFill>
            <a:latin typeface="+mj-lt"/>
            <a:ea typeface="+mn-ea"/>
            <a:cs typeface="+mn-cs"/>
          </a:endParaRPr>
        </a:p>
      </xdr:txBody>
    </xdr:sp>
    <xdr:clientData/>
  </xdr:twoCellAnchor>
  <xdr:twoCellAnchor>
    <xdr:from>
      <xdr:col>2</xdr:col>
      <xdr:colOff>423863</xdr:colOff>
      <xdr:row>12</xdr:row>
      <xdr:rowOff>28573</xdr:rowOff>
    </xdr:from>
    <xdr:to>
      <xdr:col>3</xdr:col>
      <xdr:colOff>642938</xdr:colOff>
      <xdr:row>13</xdr:row>
      <xdr:rowOff>47623</xdr:rowOff>
    </xdr:to>
    <xdr:sp macro="" textlink="">
      <xdr:nvSpPr>
        <xdr:cNvPr id="32" name="TextBox 31">
          <a:extLst>
            <a:ext uri="{FF2B5EF4-FFF2-40B4-BE49-F238E27FC236}">
              <a16:creationId xmlns:a16="http://schemas.microsoft.com/office/drawing/2014/main" id="{5FBC51D0-CC93-4212-9E8F-59EE68DA42AE}"/>
            </a:ext>
          </a:extLst>
        </xdr:cNvPr>
        <xdr:cNvSpPr txBox="1"/>
      </xdr:nvSpPr>
      <xdr:spPr>
        <a:xfrm>
          <a:off x="644129" y="1939527"/>
          <a:ext cx="867965" cy="197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Amount</a:t>
          </a:r>
        </a:p>
      </xdr:txBody>
    </xdr:sp>
    <xdr:clientData/>
  </xdr:twoCellAnchor>
  <xdr:twoCellAnchor>
    <xdr:from>
      <xdr:col>2</xdr:col>
      <xdr:colOff>476250</xdr:colOff>
      <xdr:row>15</xdr:row>
      <xdr:rowOff>66675</xdr:rowOff>
    </xdr:from>
    <xdr:to>
      <xdr:col>3</xdr:col>
      <xdr:colOff>633412</xdr:colOff>
      <xdr:row>16</xdr:row>
      <xdr:rowOff>57150</xdr:rowOff>
    </xdr:to>
    <xdr:sp macro="" textlink="Pivot!B13">
      <xdr:nvSpPr>
        <xdr:cNvPr id="33" name="TextBox 32">
          <a:extLst>
            <a:ext uri="{FF2B5EF4-FFF2-40B4-BE49-F238E27FC236}">
              <a16:creationId xmlns:a16="http://schemas.microsoft.com/office/drawing/2014/main" id="{7CCE19E9-71FA-465F-A4D5-AAAB02FC5341}"/>
            </a:ext>
          </a:extLst>
        </xdr:cNvPr>
        <xdr:cNvSpPr txBox="1"/>
      </xdr:nvSpPr>
      <xdr:spPr>
        <a:xfrm>
          <a:off x="696516" y="2513410"/>
          <a:ext cx="806052" cy="16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91C6963-B33B-4329-967D-8602F6505903}" type="TxLink">
            <a:rPr lang="en-US" sz="1100" b="0" i="0" u="none" strike="noStrike">
              <a:solidFill>
                <a:schemeClr val="bg1">
                  <a:lumMod val="95000"/>
                </a:schemeClr>
              </a:solidFill>
              <a:effectLst/>
              <a:latin typeface="+mj-lt"/>
              <a:ea typeface="+mn-ea"/>
              <a:cs typeface="+mn-cs"/>
            </a:rPr>
            <a:pPr marL="0" indent="0" algn="ctr"/>
            <a:t>$20,872</a:t>
          </a:fld>
          <a:endParaRPr lang="en-US" sz="1100" b="0" i="0" u="none" strike="noStrike">
            <a:solidFill>
              <a:schemeClr val="bg1">
                <a:lumMod val="95000"/>
              </a:schemeClr>
            </a:solidFill>
            <a:effectLst/>
            <a:latin typeface="+mj-lt"/>
            <a:ea typeface="+mn-ea"/>
            <a:cs typeface="+mn-cs"/>
          </a:endParaRPr>
        </a:p>
      </xdr:txBody>
    </xdr:sp>
    <xdr:clientData/>
  </xdr:twoCellAnchor>
  <xdr:twoCellAnchor>
    <xdr:from>
      <xdr:col>2</xdr:col>
      <xdr:colOff>0</xdr:colOff>
      <xdr:row>19</xdr:row>
      <xdr:rowOff>0</xdr:rowOff>
    </xdr:from>
    <xdr:to>
      <xdr:col>4</xdr:col>
      <xdr:colOff>457200</xdr:colOff>
      <xdr:row>23</xdr:row>
      <xdr:rowOff>76200</xdr:rowOff>
    </xdr:to>
    <xdr:sp macro="" textlink="Pivot!C4">
      <xdr:nvSpPr>
        <xdr:cNvPr id="35" name="Rectangle 34">
          <a:extLst>
            <a:ext uri="{FF2B5EF4-FFF2-40B4-BE49-F238E27FC236}">
              <a16:creationId xmlns:a16="http://schemas.microsoft.com/office/drawing/2014/main" id="{6100119A-EB9A-4D3F-BE32-4130E96A5B2A}"/>
            </a:ext>
          </a:extLst>
        </xdr:cNvPr>
        <xdr:cNvSpPr/>
      </xdr:nvSpPr>
      <xdr:spPr>
        <a:xfrm>
          <a:off x="220266" y="3161110"/>
          <a:ext cx="1754982" cy="790575"/>
        </a:xfrm>
        <a:prstGeom prst="rect">
          <a:avLst/>
        </a:prstGeom>
        <a:solidFill>
          <a:schemeClr val="accent1">
            <a:lumMod val="75000"/>
          </a:schemeClr>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F0B0AEE-B8FE-475B-B8FC-3E1E7E054489}" type="TxLink">
            <a:rPr lang="en-US" sz="2400" b="0" i="0" u="none" strike="noStrike">
              <a:solidFill>
                <a:schemeClr val="bg1"/>
              </a:solidFill>
              <a:latin typeface="+mj-lt"/>
              <a:ea typeface="+mn-ea"/>
              <a:cs typeface="+mn-cs"/>
            </a:rPr>
            <a:pPr marL="0" indent="0" algn="ctr"/>
            <a:t>89,850</a:t>
          </a:fld>
          <a:endParaRPr lang="en-US" sz="2400" b="0" i="0" u="none" strike="noStrike">
            <a:solidFill>
              <a:schemeClr val="bg1"/>
            </a:solidFill>
            <a:latin typeface="+mj-lt"/>
            <a:ea typeface="+mn-ea"/>
            <a:cs typeface="+mn-cs"/>
          </a:endParaRPr>
        </a:p>
      </xdr:txBody>
    </xdr:sp>
    <xdr:clientData/>
  </xdr:twoCellAnchor>
  <xdr:twoCellAnchor>
    <xdr:from>
      <xdr:col>2</xdr:col>
      <xdr:colOff>423863</xdr:colOff>
      <xdr:row>19</xdr:row>
      <xdr:rowOff>28573</xdr:rowOff>
    </xdr:from>
    <xdr:to>
      <xdr:col>3</xdr:col>
      <xdr:colOff>642938</xdr:colOff>
      <xdr:row>20</xdr:row>
      <xdr:rowOff>47623</xdr:rowOff>
    </xdr:to>
    <xdr:sp macro="" textlink="">
      <xdr:nvSpPr>
        <xdr:cNvPr id="36" name="TextBox 35">
          <a:extLst>
            <a:ext uri="{FF2B5EF4-FFF2-40B4-BE49-F238E27FC236}">
              <a16:creationId xmlns:a16="http://schemas.microsoft.com/office/drawing/2014/main" id="{7B541766-9CDA-4B45-9240-FB8FC1455071}"/>
            </a:ext>
          </a:extLst>
        </xdr:cNvPr>
        <xdr:cNvSpPr txBox="1"/>
      </xdr:nvSpPr>
      <xdr:spPr>
        <a:xfrm>
          <a:off x="644129" y="3189683"/>
          <a:ext cx="867965" cy="197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Duration</a:t>
          </a:r>
        </a:p>
      </xdr:txBody>
    </xdr:sp>
    <xdr:clientData/>
  </xdr:twoCellAnchor>
  <xdr:twoCellAnchor>
    <xdr:from>
      <xdr:col>2</xdr:col>
      <xdr:colOff>476250</xdr:colOff>
      <xdr:row>22</xdr:row>
      <xdr:rowOff>66675</xdr:rowOff>
    </xdr:from>
    <xdr:to>
      <xdr:col>3</xdr:col>
      <xdr:colOff>633412</xdr:colOff>
      <xdr:row>23</xdr:row>
      <xdr:rowOff>57150</xdr:rowOff>
    </xdr:to>
    <xdr:sp macro="" textlink="Pivot!C13">
      <xdr:nvSpPr>
        <xdr:cNvPr id="37" name="TextBox 36">
          <a:extLst>
            <a:ext uri="{FF2B5EF4-FFF2-40B4-BE49-F238E27FC236}">
              <a16:creationId xmlns:a16="http://schemas.microsoft.com/office/drawing/2014/main" id="{3FD0AD1A-DE2B-4EDA-85A2-D21F7045DCB3}"/>
            </a:ext>
          </a:extLst>
        </xdr:cNvPr>
        <xdr:cNvSpPr txBox="1"/>
      </xdr:nvSpPr>
      <xdr:spPr>
        <a:xfrm>
          <a:off x="696516" y="3763566"/>
          <a:ext cx="806052" cy="16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5B24629-8372-4044-89ED-A2904D89A29A}" type="TxLink">
            <a:rPr lang="en-US" sz="1100" b="0" i="0" u="none" strike="noStrike">
              <a:solidFill>
                <a:schemeClr val="bg1">
                  <a:lumMod val="95000"/>
                </a:schemeClr>
              </a:solidFill>
              <a:effectLst/>
              <a:latin typeface="+mj-lt"/>
              <a:ea typeface="+mn-ea"/>
              <a:cs typeface="+mn-cs"/>
            </a:rPr>
            <a:pPr marL="0" indent="0" algn="ctr"/>
            <a:t>17,700</a:t>
          </a:fld>
          <a:endParaRPr lang="en-US" sz="1100" b="0" i="0" u="none" strike="noStrike">
            <a:solidFill>
              <a:schemeClr val="bg1">
                <a:lumMod val="95000"/>
              </a:schemeClr>
            </a:solidFill>
            <a:effectLst/>
            <a:latin typeface="+mj-lt"/>
            <a:ea typeface="+mn-ea"/>
            <a:cs typeface="+mn-cs"/>
          </a:endParaRPr>
        </a:p>
      </xdr:txBody>
    </xdr:sp>
    <xdr:clientData/>
  </xdr:twoCellAnchor>
  <xdr:twoCellAnchor>
    <xdr:from>
      <xdr:col>2</xdr:col>
      <xdr:colOff>14288</xdr:colOff>
      <xdr:row>25</xdr:row>
      <xdr:rowOff>0</xdr:rowOff>
    </xdr:from>
    <xdr:to>
      <xdr:col>4</xdr:col>
      <xdr:colOff>471488</xdr:colOff>
      <xdr:row>29</xdr:row>
      <xdr:rowOff>76200</xdr:rowOff>
    </xdr:to>
    <xdr:sp macro="" textlink="Pivot!D4">
      <xdr:nvSpPr>
        <xdr:cNvPr id="39" name="Rectangle 38">
          <a:extLst>
            <a:ext uri="{FF2B5EF4-FFF2-40B4-BE49-F238E27FC236}">
              <a16:creationId xmlns:a16="http://schemas.microsoft.com/office/drawing/2014/main" id="{DDAF554D-AE8C-4622-B0E6-5EC2C5790584}"/>
            </a:ext>
          </a:extLst>
        </xdr:cNvPr>
        <xdr:cNvSpPr/>
      </xdr:nvSpPr>
      <xdr:spPr>
        <a:xfrm>
          <a:off x="234554" y="4232673"/>
          <a:ext cx="1754982" cy="790575"/>
        </a:xfrm>
        <a:prstGeom prst="rect">
          <a:avLst/>
        </a:prstGeom>
        <a:solidFill>
          <a:schemeClr val="accent1">
            <a:lumMod val="75000"/>
          </a:schemeClr>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6641CDA-0E5C-4C46-90F3-7EB03C238260}" type="TxLink">
            <a:rPr lang="en-US" sz="2400" b="0" i="0" u="none" strike="noStrike">
              <a:solidFill>
                <a:schemeClr val="bg1"/>
              </a:solidFill>
              <a:latin typeface="+mj-lt"/>
              <a:ea typeface="+mn-ea"/>
              <a:cs typeface="+mn-cs"/>
            </a:rPr>
            <a:pPr marL="0" indent="0" algn="ctr"/>
            <a:t>3.9</a:t>
          </a:fld>
          <a:endParaRPr lang="en-US" sz="2400" b="0" i="0" u="none" strike="noStrike">
            <a:solidFill>
              <a:schemeClr val="bg1"/>
            </a:solidFill>
            <a:latin typeface="+mj-lt"/>
            <a:ea typeface="+mn-ea"/>
            <a:cs typeface="+mn-cs"/>
          </a:endParaRPr>
        </a:p>
      </xdr:txBody>
    </xdr:sp>
    <xdr:clientData/>
  </xdr:twoCellAnchor>
  <xdr:twoCellAnchor>
    <xdr:from>
      <xdr:col>2</xdr:col>
      <xdr:colOff>404813</xdr:colOff>
      <xdr:row>25</xdr:row>
      <xdr:rowOff>47624</xdr:rowOff>
    </xdr:from>
    <xdr:to>
      <xdr:col>4</xdr:col>
      <xdr:colOff>376237</xdr:colOff>
      <xdr:row>26</xdr:row>
      <xdr:rowOff>52389</xdr:rowOff>
    </xdr:to>
    <xdr:sp macro="" textlink="">
      <xdr:nvSpPr>
        <xdr:cNvPr id="40" name="TextBox 39">
          <a:extLst>
            <a:ext uri="{FF2B5EF4-FFF2-40B4-BE49-F238E27FC236}">
              <a16:creationId xmlns:a16="http://schemas.microsoft.com/office/drawing/2014/main" id="{B67128DF-6E15-49E6-980A-82D1E8C424B4}"/>
            </a:ext>
          </a:extLst>
        </xdr:cNvPr>
        <xdr:cNvSpPr txBox="1"/>
      </xdr:nvSpPr>
      <xdr:spPr>
        <a:xfrm>
          <a:off x="625079" y="4280297"/>
          <a:ext cx="1269206" cy="183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Average</a:t>
          </a:r>
          <a:r>
            <a:rPr lang="en-US" sz="1100" baseline="0">
              <a:solidFill>
                <a:schemeClr val="bg1">
                  <a:lumMod val="95000"/>
                </a:schemeClr>
              </a:solidFill>
              <a:latin typeface="+mj-lt"/>
            </a:rPr>
            <a:t> </a:t>
          </a:r>
          <a:r>
            <a:rPr lang="en-US" sz="1100">
              <a:solidFill>
                <a:schemeClr val="bg1">
                  <a:lumMod val="95000"/>
                </a:schemeClr>
              </a:solidFill>
              <a:latin typeface="+mj-lt"/>
            </a:rPr>
            <a:t>Rating</a:t>
          </a:r>
        </a:p>
      </xdr:txBody>
    </xdr:sp>
    <xdr:clientData/>
  </xdr:twoCellAnchor>
  <xdr:twoCellAnchor>
    <xdr:from>
      <xdr:col>2</xdr:col>
      <xdr:colOff>476250</xdr:colOff>
      <xdr:row>28</xdr:row>
      <xdr:rowOff>66675</xdr:rowOff>
    </xdr:from>
    <xdr:to>
      <xdr:col>3</xdr:col>
      <xdr:colOff>633412</xdr:colOff>
      <xdr:row>29</xdr:row>
      <xdr:rowOff>57150</xdr:rowOff>
    </xdr:to>
    <xdr:sp macro="" textlink="Pivot!A13">
      <xdr:nvSpPr>
        <xdr:cNvPr id="41" name="TextBox 40">
          <a:extLst>
            <a:ext uri="{FF2B5EF4-FFF2-40B4-BE49-F238E27FC236}">
              <a16:creationId xmlns:a16="http://schemas.microsoft.com/office/drawing/2014/main" id="{E3E69C02-FACA-49E3-96E6-D1777F2CAE48}"/>
            </a:ext>
          </a:extLst>
        </xdr:cNvPr>
        <xdr:cNvSpPr txBox="1"/>
      </xdr:nvSpPr>
      <xdr:spPr>
        <a:xfrm>
          <a:off x="696516" y="4835129"/>
          <a:ext cx="806052" cy="16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C56CD6-3BC4-4149-AA78-46EA4D7E12EC}" type="TxLink">
            <a:rPr lang="en-US" sz="1100" b="0" i="0" u="none" strike="noStrike">
              <a:solidFill>
                <a:schemeClr val="bg1">
                  <a:lumMod val="95000"/>
                </a:schemeClr>
              </a:solidFill>
              <a:effectLst/>
              <a:latin typeface="+mj-lt"/>
            </a:rPr>
            <a:pPr algn="ctr"/>
            <a:t>207</a:t>
          </a:fld>
          <a:endParaRPr lang="en-US" sz="1100">
            <a:solidFill>
              <a:schemeClr val="bg1">
                <a:lumMod val="95000"/>
              </a:schemeClr>
            </a:solidFill>
            <a:effectLst/>
            <a:latin typeface="+mj-lt"/>
          </a:endParaRPr>
        </a:p>
      </xdr:txBody>
    </xdr:sp>
    <xdr:clientData/>
  </xdr:twoCellAnchor>
  <xdr:twoCellAnchor>
    <xdr:from>
      <xdr:col>1</xdr:col>
      <xdr:colOff>119063</xdr:colOff>
      <xdr:row>31</xdr:row>
      <xdr:rowOff>9525</xdr:rowOff>
    </xdr:from>
    <xdr:to>
      <xdr:col>4</xdr:col>
      <xdr:colOff>442913</xdr:colOff>
      <xdr:row>35</xdr:row>
      <xdr:rowOff>85725</xdr:rowOff>
    </xdr:to>
    <xdr:sp macro="" textlink="Pivot!E4">
      <xdr:nvSpPr>
        <xdr:cNvPr id="43" name="Rectangle 42">
          <a:extLst>
            <a:ext uri="{FF2B5EF4-FFF2-40B4-BE49-F238E27FC236}">
              <a16:creationId xmlns:a16="http://schemas.microsoft.com/office/drawing/2014/main" id="{43AEE61E-8FC2-47D8-8429-CA1950AA3DFB}"/>
            </a:ext>
          </a:extLst>
        </xdr:cNvPr>
        <xdr:cNvSpPr/>
      </xdr:nvSpPr>
      <xdr:spPr>
        <a:xfrm>
          <a:off x="208361" y="5313760"/>
          <a:ext cx="1752600" cy="790575"/>
        </a:xfrm>
        <a:prstGeom prst="rect">
          <a:avLst/>
        </a:prstGeom>
        <a:solidFill>
          <a:schemeClr val="accent1">
            <a:lumMod val="75000"/>
          </a:schemeClr>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6E310DA-7A26-469A-A547-2063887827ED}" type="TxLink">
            <a:rPr lang="en-US" sz="2400" b="0" i="0" u="none" strike="noStrike">
              <a:solidFill>
                <a:schemeClr val="bg1"/>
              </a:solidFill>
              <a:latin typeface="+mj-lt"/>
              <a:ea typeface="+mn-ea"/>
              <a:cs typeface="+mn-cs"/>
            </a:rPr>
            <a:pPr marL="0" indent="0" algn="ctr"/>
            <a:t>307</a:t>
          </a:fld>
          <a:endParaRPr lang="en-US" sz="2400" b="0" i="0" u="none" strike="noStrike">
            <a:solidFill>
              <a:schemeClr val="bg1"/>
            </a:solidFill>
            <a:latin typeface="+mj-lt"/>
            <a:ea typeface="+mn-ea"/>
            <a:cs typeface="+mn-cs"/>
          </a:endParaRPr>
        </a:p>
      </xdr:txBody>
    </xdr:sp>
    <xdr:clientData/>
  </xdr:twoCellAnchor>
  <xdr:twoCellAnchor>
    <xdr:from>
      <xdr:col>2</xdr:col>
      <xdr:colOff>300038</xdr:colOff>
      <xdr:row>31</xdr:row>
      <xdr:rowOff>33336</xdr:rowOff>
    </xdr:from>
    <xdr:to>
      <xdr:col>4</xdr:col>
      <xdr:colOff>219075</xdr:colOff>
      <xdr:row>32</xdr:row>
      <xdr:rowOff>71438</xdr:rowOff>
    </xdr:to>
    <xdr:sp macro="" textlink="">
      <xdr:nvSpPr>
        <xdr:cNvPr id="44" name="TextBox 43">
          <a:extLst>
            <a:ext uri="{FF2B5EF4-FFF2-40B4-BE49-F238E27FC236}">
              <a16:creationId xmlns:a16="http://schemas.microsoft.com/office/drawing/2014/main" id="{D6E19C77-728F-432E-B410-758B4C0D8BA7}"/>
            </a:ext>
          </a:extLst>
        </xdr:cNvPr>
        <xdr:cNvSpPr txBox="1"/>
      </xdr:nvSpPr>
      <xdr:spPr>
        <a:xfrm>
          <a:off x="520304" y="5337571"/>
          <a:ext cx="1216819" cy="216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Happy Callers</a:t>
          </a:r>
        </a:p>
      </xdr:txBody>
    </xdr:sp>
    <xdr:clientData/>
  </xdr:twoCellAnchor>
  <xdr:twoCellAnchor>
    <xdr:from>
      <xdr:col>2</xdr:col>
      <xdr:colOff>476250</xdr:colOff>
      <xdr:row>34</xdr:row>
      <xdr:rowOff>66675</xdr:rowOff>
    </xdr:from>
    <xdr:to>
      <xdr:col>3</xdr:col>
      <xdr:colOff>633412</xdr:colOff>
      <xdr:row>35</xdr:row>
      <xdr:rowOff>57150</xdr:rowOff>
    </xdr:to>
    <xdr:sp macro="" textlink="Pivot!E13">
      <xdr:nvSpPr>
        <xdr:cNvPr id="45" name="TextBox 44">
          <a:extLst>
            <a:ext uri="{FF2B5EF4-FFF2-40B4-BE49-F238E27FC236}">
              <a16:creationId xmlns:a16="http://schemas.microsoft.com/office/drawing/2014/main" id="{5F38BCA7-DC2E-4652-8649-E21DD429DA76}"/>
            </a:ext>
          </a:extLst>
        </xdr:cNvPr>
        <xdr:cNvSpPr txBox="1"/>
      </xdr:nvSpPr>
      <xdr:spPr>
        <a:xfrm>
          <a:off x="696516" y="5906691"/>
          <a:ext cx="806052" cy="16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767FE2-8901-4222-9CE7-FD41279BD876}" type="TxLink">
            <a:rPr lang="en-US" sz="1100" b="1" i="0" u="none" strike="noStrike">
              <a:solidFill>
                <a:schemeClr val="bg1">
                  <a:lumMod val="85000"/>
                </a:schemeClr>
              </a:solidFill>
              <a:effectLst/>
              <a:latin typeface="Aptos"/>
            </a:rPr>
            <a:pPr algn="ctr"/>
            <a:t>60</a:t>
          </a:fld>
          <a:endParaRPr lang="en-US" sz="1100" b="1">
            <a:solidFill>
              <a:schemeClr val="bg1">
                <a:lumMod val="85000"/>
              </a:schemeClr>
            </a:solidFill>
            <a:effectLst/>
            <a:latin typeface="+mj-lt"/>
          </a:endParaRPr>
        </a:p>
      </xdr:txBody>
    </xdr:sp>
    <xdr:clientData/>
  </xdr:twoCellAnchor>
  <xdr:twoCellAnchor>
    <xdr:from>
      <xdr:col>2</xdr:col>
      <xdr:colOff>0</xdr:colOff>
      <xdr:row>5</xdr:row>
      <xdr:rowOff>0</xdr:rowOff>
    </xdr:from>
    <xdr:to>
      <xdr:col>4</xdr:col>
      <xdr:colOff>457200</xdr:colOff>
      <xdr:row>9</xdr:row>
      <xdr:rowOff>76200</xdr:rowOff>
    </xdr:to>
    <xdr:sp macro="" textlink="Pivot!A4">
      <xdr:nvSpPr>
        <xdr:cNvPr id="47" name="Rectangle 46">
          <a:extLst>
            <a:ext uri="{FF2B5EF4-FFF2-40B4-BE49-F238E27FC236}">
              <a16:creationId xmlns:a16="http://schemas.microsoft.com/office/drawing/2014/main" id="{11AF41CF-5EB9-4765-BC8E-10623FAE2E96}"/>
            </a:ext>
          </a:extLst>
        </xdr:cNvPr>
        <xdr:cNvSpPr/>
      </xdr:nvSpPr>
      <xdr:spPr>
        <a:xfrm>
          <a:off x="220266" y="660798"/>
          <a:ext cx="1754982" cy="790575"/>
        </a:xfrm>
        <a:prstGeom prst="rect">
          <a:avLst/>
        </a:prstGeom>
        <a:solidFill>
          <a:schemeClr val="accent1">
            <a:lumMod val="75000"/>
          </a:schemeClr>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A7A107-D1A9-4A55-A9C7-0374324C2715}" type="TxLink">
            <a:rPr lang="en-US" sz="2400" b="0" i="0" u="none" strike="noStrike">
              <a:solidFill>
                <a:schemeClr val="bg1"/>
              </a:solidFill>
              <a:latin typeface="+mj-lt"/>
            </a:rPr>
            <a:pPr algn="ctr"/>
            <a:t>1,000</a:t>
          </a:fld>
          <a:endParaRPr lang="en-US" sz="2400">
            <a:solidFill>
              <a:schemeClr val="bg1"/>
            </a:solidFill>
            <a:latin typeface="+mj-lt"/>
          </a:endParaRPr>
        </a:p>
      </xdr:txBody>
    </xdr:sp>
    <xdr:clientData/>
  </xdr:twoCellAnchor>
  <xdr:twoCellAnchor>
    <xdr:from>
      <xdr:col>2</xdr:col>
      <xdr:colOff>423863</xdr:colOff>
      <xdr:row>5</xdr:row>
      <xdr:rowOff>28573</xdr:rowOff>
    </xdr:from>
    <xdr:to>
      <xdr:col>3</xdr:col>
      <xdr:colOff>642938</xdr:colOff>
      <xdr:row>6</xdr:row>
      <xdr:rowOff>47623</xdr:rowOff>
    </xdr:to>
    <xdr:sp macro="" textlink="">
      <xdr:nvSpPr>
        <xdr:cNvPr id="48" name="TextBox 47">
          <a:extLst>
            <a:ext uri="{FF2B5EF4-FFF2-40B4-BE49-F238E27FC236}">
              <a16:creationId xmlns:a16="http://schemas.microsoft.com/office/drawing/2014/main" id="{D50C7AE4-505B-4F5B-A696-C7C7EA9D34CB}"/>
            </a:ext>
          </a:extLst>
        </xdr:cNvPr>
        <xdr:cNvSpPr txBox="1"/>
      </xdr:nvSpPr>
      <xdr:spPr>
        <a:xfrm>
          <a:off x="644129" y="689371"/>
          <a:ext cx="867965" cy="197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lumMod val="95000"/>
                </a:schemeClr>
              </a:solidFill>
              <a:latin typeface="+mj-lt"/>
            </a:rPr>
            <a:t>Calls</a:t>
          </a:r>
        </a:p>
      </xdr:txBody>
    </xdr:sp>
    <xdr:clientData/>
  </xdr:twoCellAnchor>
  <xdr:twoCellAnchor>
    <xdr:from>
      <xdr:col>2</xdr:col>
      <xdr:colOff>476250</xdr:colOff>
      <xdr:row>8</xdr:row>
      <xdr:rowOff>66675</xdr:rowOff>
    </xdr:from>
    <xdr:to>
      <xdr:col>3</xdr:col>
      <xdr:colOff>633412</xdr:colOff>
      <xdr:row>9</xdr:row>
      <xdr:rowOff>57150</xdr:rowOff>
    </xdr:to>
    <xdr:sp macro="" textlink="Pivot!A13">
      <xdr:nvSpPr>
        <xdr:cNvPr id="49" name="TextBox 48">
          <a:extLst>
            <a:ext uri="{FF2B5EF4-FFF2-40B4-BE49-F238E27FC236}">
              <a16:creationId xmlns:a16="http://schemas.microsoft.com/office/drawing/2014/main" id="{771DABA5-6C65-4365-9B5F-4357D67ADE59}"/>
            </a:ext>
          </a:extLst>
        </xdr:cNvPr>
        <xdr:cNvSpPr txBox="1"/>
      </xdr:nvSpPr>
      <xdr:spPr>
        <a:xfrm>
          <a:off x="696516" y="1263254"/>
          <a:ext cx="806052" cy="1690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6C56CD6-3BC4-4149-AA78-46EA4D7E12EC}" type="TxLink">
            <a:rPr lang="en-US" sz="1100" b="0" i="0" u="none" strike="noStrike">
              <a:solidFill>
                <a:schemeClr val="bg1">
                  <a:lumMod val="95000"/>
                </a:schemeClr>
              </a:solidFill>
              <a:effectLst/>
              <a:latin typeface="+mj-lt"/>
            </a:rPr>
            <a:pPr algn="ctr"/>
            <a:t>207</a:t>
          </a:fld>
          <a:endParaRPr lang="en-US" sz="1100">
            <a:solidFill>
              <a:schemeClr val="bg1">
                <a:lumMod val="95000"/>
              </a:schemeClr>
            </a:solidFill>
            <a:effectLst/>
            <a:latin typeface="+mj-lt"/>
          </a:endParaRPr>
        </a:p>
      </xdr:txBody>
    </xdr:sp>
    <xdr:clientData/>
  </xdr:twoCellAnchor>
  <xdr:twoCellAnchor editAs="oneCell">
    <xdr:from>
      <xdr:col>2</xdr:col>
      <xdr:colOff>133350</xdr:colOff>
      <xdr:row>5</xdr:row>
      <xdr:rowOff>57151</xdr:rowOff>
    </xdr:from>
    <xdr:to>
      <xdr:col>2</xdr:col>
      <xdr:colOff>395287</xdr:colOff>
      <xdr:row>7</xdr:row>
      <xdr:rowOff>10947</xdr:rowOff>
    </xdr:to>
    <xdr:pic>
      <xdr:nvPicPr>
        <xdr:cNvPr id="50" name="Graphic 49" descr="Receiver with solid fill">
          <a:extLst>
            <a:ext uri="{FF2B5EF4-FFF2-40B4-BE49-F238E27FC236}">
              <a16:creationId xmlns:a16="http://schemas.microsoft.com/office/drawing/2014/main" id="{FD062F5F-0426-4223-BFA1-63E2CB8DED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3616" y="717949"/>
          <a:ext cx="261937" cy="310983"/>
        </a:xfrm>
        <a:prstGeom prst="rect">
          <a:avLst/>
        </a:prstGeom>
      </xdr:spPr>
    </xdr:pic>
    <xdr:clientData/>
  </xdr:twoCellAnchor>
  <xdr:twoCellAnchor editAs="oneCell">
    <xdr:from>
      <xdr:col>2</xdr:col>
      <xdr:colOff>122379</xdr:colOff>
      <xdr:row>19</xdr:row>
      <xdr:rowOff>97008</xdr:rowOff>
    </xdr:from>
    <xdr:to>
      <xdr:col>2</xdr:col>
      <xdr:colOff>413067</xdr:colOff>
      <xdr:row>21</xdr:row>
      <xdr:rowOff>19867</xdr:rowOff>
    </xdr:to>
    <xdr:pic>
      <xdr:nvPicPr>
        <xdr:cNvPr id="51" name="Graphic 50" descr="Hourglass Finished with solid fill">
          <a:extLst>
            <a:ext uri="{FF2B5EF4-FFF2-40B4-BE49-F238E27FC236}">
              <a16:creationId xmlns:a16="http://schemas.microsoft.com/office/drawing/2014/main" id="{851A022D-724A-43DE-B8EC-4804E54AEFC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1006909">
          <a:off x="342645" y="3258118"/>
          <a:ext cx="290688" cy="280047"/>
        </a:xfrm>
        <a:prstGeom prst="rect">
          <a:avLst/>
        </a:prstGeom>
      </xdr:spPr>
    </xdr:pic>
    <xdr:clientData/>
  </xdr:twoCellAnchor>
  <xdr:twoCellAnchor editAs="oneCell">
    <xdr:from>
      <xdr:col>2</xdr:col>
      <xdr:colOff>138113</xdr:colOff>
      <xdr:row>12</xdr:row>
      <xdr:rowOff>42863</xdr:rowOff>
    </xdr:from>
    <xdr:to>
      <xdr:col>2</xdr:col>
      <xdr:colOff>381475</xdr:colOff>
      <xdr:row>13</xdr:row>
      <xdr:rowOff>90489</xdr:rowOff>
    </xdr:to>
    <xdr:pic>
      <xdr:nvPicPr>
        <xdr:cNvPr id="52" name="Graphic 51" descr="Shopping cart with solid fill">
          <a:extLst>
            <a:ext uri="{FF2B5EF4-FFF2-40B4-BE49-F238E27FC236}">
              <a16:creationId xmlns:a16="http://schemas.microsoft.com/office/drawing/2014/main" id="{86E2BA74-6167-4419-B081-605E6430D01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8379" y="1953817"/>
          <a:ext cx="243362" cy="226220"/>
        </a:xfrm>
        <a:prstGeom prst="rect">
          <a:avLst/>
        </a:prstGeom>
      </xdr:spPr>
    </xdr:pic>
    <xdr:clientData/>
  </xdr:twoCellAnchor>
  <xdr:twoCellAnchor editAs="oneCell">
    <xdr:from>
      <xdr:col>2</xdr:col>
      <xdr:colOff>28575</xdr:colOff>
      <xdr:row>31</xdr:row>
      <xdr:rowOff>138113</xdr:rowOff>
    </xdr:from>
    <xdr:to>
      <xdr:col>2</xdr:col>
      <xdr:colOff>438225</xdr:colOff>
      <xdr:row>33</xdr:row>
      <xdr:rowOff>169247</xdr:rowOff>
    </xdr:to>
    <xdr:pic>
      <xdr:nvPicPr>
        <xdr:cNvPr id="53" name="Graphic 52" descr="Star-struck face outline with solid fill">
          <a:extLst>
            <a:ext uri="{FF2B5EF4-FFF2-40B4-BE49-F238E27FC236}">
              <a16:creationId xmlns:a16="http://schemas.microsoft.com/office/drawing/2014/main" id="{D3478403-D547-4F02-ACEC-E615AED4E78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8841" y="5442348"/>
          <a:ext cx="409650" cy="388322"/>
        </a:xfrm>
        <a:prstGeom prst="rect">
          <a:avLst/>
        </a:prstGeom>
      </xdr:spPr>
    </xdr:pic>
    <xdr:clientData/>
  </xdr:twoCellAnchor>
  <xdr:twoCellAnchor editAs="oneCell">
    <xdr:from>
      <xdr:col>2</xdr:col>
      <xdr:colOff>41672</xdr:colOff>
      <xdr:row>24</xdr:row>
      <xdr:rowOff>87392</xdr:rowOff>
    </xdr:from>
    <xdr:to>
      <xdr:col>2</xdr:col>
      <xdr:colOff>543639</xdr:colOff>
      <xdr:row>26</xdr:row>
      <xdr:rowOff>166689</xdr:rowOff>
    </xdr:to>
    <xdr:pic>
      <xdr:nvPicPr>
        <xdr:cNvPr id="54" name="Graphic 53" descr="Rating Star with solid fill">
          <a:extLst>
            <a:ext uri="{FF2B5EF4-FFF2-40B4-BE49-F238E27FC236}">
              <a16:creationId xmlns:a16="http://schemas.microsoft.com/office/drawing/2014/main" id="{DE53DD25-3715-475E-AF30-A6041867688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261938" y="4141471"/>
          <a:ext cx="501967" cy="436484"/>
        </a:xfrm>
        <a:prstGeom prst="rect">
          <a:avLst/>
        </a:prstGeom>
      </xdr:spPr>
    </xdr:pic>
    <xdr:clientData/>
  </xdr:twoCellAnchor>
  <xdr:twoCellAnchor>
    <xdr:from>
      <xdr:col>12</xdr:col>
      <xdr:colOff>23813</xdr:colOff>
      <xdr:row>5</xdr:row>
      <xdr:rowOff>5954</xdr:rowOff>
    </xdr:from>
    <xdr:to>
      <xdr:col>14</xdr:col>
      <xdr:colOff>529828</xdr:colOff>
      <xdr:row>13</xdr:row>
      <xdr:rowOff>89297</xdr:rowOff>
    </xdr:to>
    <xdr:graphicFrame macro="">
      <xdr:nvGraphicFramePr>
        <xdr:cNvPr id="58" name="Chart 57">
          <a:extLst>
            <a:ext uri="{FF2B5EF4-FFF2-40B4-BE49-F238E27FC236}">
              <a16:creationId xmlns:a16="http://schemas.microsoft.com/office/drawing/2014/main" id="{9A2D0F37-7322-4736-9F8A-98978747C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83343</xdr:colOff>
      <xdr:row>18</xdr:row>
      <xdr:rowOff>95249</xdr:rowOff>
    </xdr:from>
    <xdr:to>
      <xdr:col>12</xdr:col>
      <xdr:colOff>148827</xdr:colOff>
      <xdr:row>35</xdr:row>
      <xdr:rowOff>130969</xdr:rowOff>
    </xdr:to>
    <xdr:sp macro="" textlink="">
      <xdr:nvSpPr>
        <xdr:cNvPr id="61" name="Rectangle 60">
          <a:extLst>
            <a:ext uri="{FF2B5EF4-FFF2-40B4-BE49-F238E27FC236}">
              <a16:creationId xmlns:a16="http://schemas.microsoft.com/office/drawing/2014/main" id="{E550552D-8610-1EFB-ACC1-959D044823ED}"/>
            </a:ext>
          </a:extLst>
        </xdr:cNvPr>
        <xdr:cNvSpPr/>
      </xdr:nvSpPr>
      <xdr:spPr>
        <a:xfrm>
          <a:off x="2250281" y="3077765"/>
          <a:ext cx="4607719" cy="3071814"/>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107156</xdr:colOff>
      <xdr:row>5</xdr:row>
      <xdr:rowOff>0</xdr:rowOff>
    </xdr:from>
    <xdr:to>
      <xdr:col>12</xdr:col>
      <xdr:colOff>77389</xdr:colOff>
      <xdr:row>17</xdr:row>
      <xdr:rowOff>172640</xdr:rowOff>
    </xdr:to>
    <xdr:graphicFrame macro="">
      <xdr:nvGraphicFramePr>
        <xdr:cNvPr id="56" name="Chart 55">
          <a:extLst>
            <a:ext uri="{FF2B5EF4-FFF2-40B4-BE49-F238E27FC236}">
              <a16:creationId xmlns:a16="http://schemas.microsoft.com/office/drawing/2014/main" id="{0ED81662-2B71-4A89-8E99-6656FFAA5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119060</xdr:colOff>
      <xdr:row>18</xdr:row>
      <xdr:rowOff>135730</xdr:rowOff>
    </xdr:from>
    <xdr:to>
      <xdr:col>8</xdr:col>
      <xdr:colOff>523873</xdr:colOff>
      <xdr:row>35</xdr:row>
      <xdr:rowOff>65485</xdr:rowOff>
    </xdr:to>
    <xdr:graphicFrame macro="">
      <xdr:nvGraphicFramePr>
        <xdr:cNvPr id="59" name="Chart 58">
          <a:extLst>
            <a:ext uri="{FF2B5EF4-FFF2-40B4-BE49-F238E27FC236}">
              <a16:creationId xmlns:a16="http://schemas.microsoft.com/office/drawing/2014/main" id="{7C023C82-7042-402D-80AD-A6A18DEA4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535780</xdr:colOff>
      <xdr:row>18</xdr:row>
      <xdr:rowOff>136921</xdr:rowOff>
    </xdr:from>
    <xdr:to>
      <xdr:col>12</xdr:col>
      <xdr:colOff>107154</xdr:colOff>
      <xdr:row>35</xdr:row>
      <xdr:rowOff>71438</xdr:rowOff>
    </xdr:to>
    <xdr:graphicFrame macro="">
      <xdr:nvGraphicFramePr>
        <xdr:cNvPr id="60" name="Chart 59">
          <a:extLst>
            <a:ext uri="{FF2B5EF4-FFF2-40B4-BE49-F238E27FC236}">
              <a16:creationId xmlns:a16="http://schemas.microsoft.com/office/drawing/2014/main" id="{B4A3C264-CCFD-4091-8888-67327F8D5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607221</xdr:colOff>
      <xdr:row>5</xdr:row>
      <xdr:rowOff>17860</xdr:rowOff>
    </xdr:from>
    <xdr:to>
      <xdr:col>17</xdr:col>
      <xdr:colOff>541736</xdr:colOff>
      <xdr:row>17</xdr:row>
      <xdr:rowOff>77391</xdr:rowOff>
    </xdr:to>
    <xdr:graphicFrame macro="">
      <xdr:nvGraphicFramePr>
        <xdr:cNvPr id="62" name="Chart 61">
          <a:extLst>
            <a:ext uri="{FF2B5EF4-FFF2-40B4-BE49-F238E27FC236}">
              <a16:creationId xmlns:a16="http://schemas.microsoft.com/office/drawing/2014/main" id="{DD5E1F32-22CD-4032-96B3-C3E62FA86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708422</xdr:colOff>
      <xdr:row>4</xdr:row>
      <xdr:rowOff>178594</xdr:rowOff>
    </xdr:from>
    <xdr:to>
      <xdr:col>22</xdr:col>
      <xdr:colOff>35719</xdr:colOff>
      <xdr:row>17</xdr:row>
      <xdr:rowOff>47624</xdr:rowOff>
    </xdr:to>
    <xdr:graphicFrame macro="">
      <xdr:nvGraphicFramePr>
        <xdr:cNvPr id="63" name="Chart 62">
          <a:extLst>
            <a:ext uri="{FF2B5EF4-FFF2-40B4-BE49-F238E27FC236}">
              <a16:creationId xmlns:a16="http://schemas.microsoft.com/office/drawing/2014/main" id="{F75F509F-6CFC-4D92-B3B2-4E7789764B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158235069444" backgroundQuery="1" createdVersion="8" refreshedVersion="8" minRefreshableVersion="3" recordCount="0" supportSubquery="1" supportAdvancedDrill="1" xr:uid="{D094DB99-B39B-4EC9-B548-7374C670D0F5}">
  <cacheSource type="external" connectionId="1"/>
  <cacheFields count="5">
    <cacheField name="[Measures].[Call Count]" caption="Call Count" numFmtId="0" hierarchy="19" level="32767"/>
    <cacheField name="[Measures].[Total Purchase Amount]" caption="Total Purchase Amount" numFmtId="0" hierarchy="20" level="32767"/>
    <cacheField name="[Measures].[Total Duration]" caption="Total Duration" numFmtId="0" hierarchy="21" level="32767"/>
    <cacheField name="[Measures].[Average Rating]" caption="Average Rating" numFmtId="0" hierarchy="22" level="32767"/>
    <cacheField name="[Measures].[5 * Calls]" caption="5 * Calls" numFmtId="0" hierarchy="23"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Purchase Amount]" caption="Total Purchas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158236342591" backgroundQuery="1" createdVersion="8" refreshedVersion="8" minRefreshableVersion="3" recordCount="0" supportSubquery="1" supportAdvancedDrill="1" xr:uid="{8B6D1AA6-762B-4CE5-9003-E685018DFA30}">
  <cacheSource type="external" connectionId="1"/>
  <cacheFields count="3">
    <cacheField name="[calls].[Representative].[Representative]" caption="Representative" numFmtId="0" hierarchy="3" level="1">
      <sharedItems count="5">
        <s v="R01"/>
        <s v="R02"/>
        <s v="R03"/>
        <s v="R04"/>
        <s v="R05"/>
      </sharedItems>
    </cacheField>
    <cacheField name="[Measures].[Total Purchase Amount]" caption="Total Purchase Amount" numFmtId="0" hierarchy="20" level="32767"/>
    <cacheField name="[Measures].[Call Count]" caption="Call Count" numFmtId="0" hierarchy="19"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Purchase Amount]" caption="Total Purchase Amount" measure="1" displayFolder="" measureGroup="calls" count="0" oneField="1">
      <fieldsUsage count="1">
        <fieldUsage x="1"/>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158237384261" backgroundQuery="1" createdVersion="8" refreshedVersion="8" minRefreshableVersion="3" recordCount="0" supportSubquery="1" supportAdvancedDrill="1" xr:uid="{75FB0718-083D-4F55-AD9F-4AAB34D3A6C7}">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9"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164653472224" backgroundQuery="1" createdVersion="8" refreshedVersion="8" minRefreshableVersion="3" recordCount="0" supportSubquery="1" supportAdvancedDrill="1" xr:uid="{C54A43D8-5E15-4E0F-AA52-7E1F49E66F7D}">
  <cacheSource type="external" connectionId="1"/>
  <cacheFields count="5">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unt="5">
        <s v="R01"/>
        <s v="R02"/>
        <s v="R03"/>
        <s v="R04"/>
        <s v="R05"/>
      </sharedItems>
    </cacheField>
    <cacheField name="[Measures].[Sum of Purchase Amount]" caption="Sum of Purchase Amount" numFmtId="0" hierarchy="18" level="32767"/>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4"/>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3"/>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oneField="1">
      <fieldsUsage count="1">
        <fieldUsage x="2"/>
      </fieldsUsage>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230125115741" backgroundQuery="1" createdVersion="8" refreshedVersion="8" minRefreshableVersion="3" recordCount="0" supportSubquery="1" supportAdvancedDrill="1" xr:uid="{E99EAF29-8611-4A06-877E-8E8F4CCB524D}">
  <cacheSource type="external" connectionId="1"/>
  <cacheFields count="6">
    <cacheField name="[Measures].[Call Count]" caption="Call Count" numFmtId="0" hierarchy="19" level="32767"/>
    <cacheField name="[Measures].[Total Purchase Amount]" caption="Total Purchase Amount" numFmtId="0" hierarchy="20" level="32767"/>
    <cacheField name="[Measures].[Total Duration]" caption="Total Duration" numFmtId="0" hierarchy="21" level="32767"/>
    <cacheField name="[Measures].[Average Rating]" caption="Average Rating" numFmtId="0" hierarchy="22" level="32767"/>
    <cacheField name="[Measures].[5 * Calls]" caption="5 * Calls" numFmtId="0" hierarchy="23"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Purchase Amount]" caption="Total Purchase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230125694441" backgroundQuery="1" createdVersion="8" refreshedVersion="8" minRefreshableVersion="3" recordCount="0" supportSubquery="1" supportAdvancedDrill="1" xr:uid="{7580626D-1374-4DD9-9978-84171CFCD90B}">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0T00:00:00" count="158">
        <d v="2023-01-03T00:00:00"/>
        <d v="2023-01-05T00:00:00"/>
        <d v="2023-01-15T00:00:00"/>
        <d v="2023-01-16T00:00:00"/>
        <d v="2023-01-18T00:00:00"/>
        <d v="2023-01-19T00:00:00"/>
        <d v="2023-01-21T00:00:00"/>
        <d v="2023-01-24T00:00:00"/>
        <d v="2023-01-27T00:00:00"/>
        <d v="2023-01-28T00:00:00"/>
        <d v="2023-01-30T00:00:00"/>
        <d v="2023-02-01T00:00:00"/>
        <d v="2023-02-08T00:00:00"/>
        <d v="2023-02-10T00:00:00"/>
        <d v="2023-02-12T00:00:00"/>
        <d v="2023-02-13T00:00:00"/>
        <d v="2023-02-15T00:00:00"/>
        <d v="2023-02-16T00:00:00"/>
        <d v="2023-02-17T00:00:00"/>
        <d v="2023-02-22T00:00:00"/>
        <d v="2023-02-25T00:00:00"/>
        <d v="2023-02-28T00:00:00"/>
        <d v="2023-03-01T00:00:00"/>
        <d v="2023-03-02T00:00:00"/>
        <d v="2023-03-03T00:00:00"/>
        <d v="2023-03-04T00:00:00"/>
        <d v="2023-03-05T00:00:00"/>
        <d v="2023-03-07T00:00:00"/>
        <d v="2023-03-09T00:00:00"/>
        <d v="2023-03-11T00:00:00"/>
        <d v="2023-03-12T00:00:00"/>
        <d v="2023-03-13T00:00:00"/>
        <d v="2023-03-14T00:00:00"/>
        <d v="2023-03-15T00:00:00"/>
        <d v="2023-03-18T00:00:00"/>
        <d v="2023-03-20T00:00:00"/>
        <d v="2023-03-21T00:00:00"/>
        <d v="2023-03-22T00:00:00"/>
        <d v="2023-03-24T00:00:00"/>
        <d v="2023-03-25T00:00:00"/>
        <d v="2023-03-27T00:00:00"/>
        <d v="2023-03-28T00:00:00"/>
        <d v="2023-03-29T00:00:00"/>
        <d v="2023-04-02T00:00:00"/>
        <d v="2023-04-03T00:00:00"/>
        <d v="2023-04-05T00:00:00"/>
        <d v="2023-04-06T00:00:00"/>
        <d v="2023-04-07T00:00:00"/>
        <d v="2023-04-08T00:00:00"/>
        <d v="2023-04-12T00:00:00"/>
        <d v="2023-04-15T00:00:00"/>
        <d v="2023-04-16T00:00:00"/>
        <d v="2023-04-17T00:00:00"/>
        <d v="2023-04-19T00:00:00"/>
        <d v="2023-04-21T00:00:00"/>
        <d v="2023-04-23T00:00:00"/>
        <d v="2023-04-24T00:00:00"/>
        <d v="2023-04-25T00:00:00"/>
        <d v="2023-04-29T00:00:00"/>
        <d v="2023-05-01T00:00:00"/>
        <d v="2023-05-02T00:00:00"/>
        <d v="2023-05-03T00:00:00"/>
        <d v="2023-05-04T00:00:00"/>
        <d v="2023-05-08T00:00:00"/>
        <d v="2023-05-12T00:00:00"/>
        <d v="2023-05-18T00:00:00"/>
        <d v="2023-05-19T00:00:00"/>
        <d v="2023-05-21T00:00:00"/>
        <d v="2023-05-22T00:00:00"/>
        <d v="2023-05-24T00:00:00"/>
        <d v="2023-05-25T00:00:00"/>
        <d v="2023-05-28T00:00:00"/>
        <d v="2023-05-30T00:00:00"/>
        <d v="2023-05-31T00:00:00"/>
        <d v="2023-06-01T00:00:00"/>
        <d v="2023-06-03T00:00:00"/>
        <d v="2023-06-04T00:00:00"/>
        <d v="2023-06-07T00:00:00"/>
        <d v="2023-06-09T00:00:00"/>
        <d v="2023-06-12T00:00:00"/>
        <d v="2023-06-15T00:00:00"/>
        <d v="2023-06-17T00:00:00"/>
        <d v="2023-06-18T00:00:00"/>
        <d v="2023-06-19T00:00:00"/>
        <d v="2023-06-21T00:00:00"/>
        <d v="2023-06-23T00:00:00"/>
        <d v="2023-06-25T00:00:00"/>
        <d v="2023-06-26T00:00:00"/>
        <d v="2023-07-04T00:00:00"/>
        <d v="2023-07-09T00:00:00"/>
        <d v="2023-07-10T00:00:00"/>
        <d v="2023-07-12T00:00:00"/>
        <d v="2023-07-19T00:00:00"/>
        <d v="2023-07-26T00:00:00"/>
        <d v="2023-07-27T00:00:00"/>
        <d v="2023-07-31T00:00:00"/>
        <d v="2023-08-03T00:00:00"/>
        <d v="2023-08-07T00:00:00"/>
        <d v="2023-08-10T00:00:00"/>
        <d v="2023-08-12T00:00:00"/>
        <d v="2023-08-20T00:00:00"/>
        <d v="2023-08-26T00:00:00"/>
        <d v="2023-08-27T00:00:00"/>
        <d v="2023-08-29T00:00:00"/>
        <d v="2023-09-01T00:00:00"/>
        <d v="2023-09-06T00:00:00"/>
        <d v="2023-09-07T00:00:00"/>
        <d v="2023-09-08T00:00:00"/>
        <d v="2023-09-09T00:00:00"/>
        <d v="2023-09-10T00:00:00"/>
        <d v="2023-09-12T00:00:00"/>
        <d v="2023-09-13T00:00:00"/>
        <d v="2023-09-19T00:00:00"/>
        <d v="2023-09-24T00:00:00"/>
        <d v="2023-09-30T00:00:00"/>
        <d v="2023-10-01T00:00:00"/>
        <d v="2023-10-02T00:00:00"/>
        <d v="2023-10-04T00:00:00"/>
        <d v="2023-10-06T00:00:00"/>
        <d v="2023-10-07T00:00:00"/>
        <d v="2023-10-08T00:00:00"/>
        <d v="2023-10-09T00:00:00"/>
        <d v="2023-10-10T00:00:00"/>
        <d v="2023-10-11T00:00:00"/>
        <d v="2023-10-14T00:00:00"/>
        <d v="2023-10-15T00:00:00"/>
        <d v="2023-10-16T00:00:00"/>
        <d v="2023-10-17T00:00:00"/>
        <d v="2023-10-18T00:00:00"/>
        <d v="2023-10-19T00:00:00"/>
        <d v="2023-10-22T00:00:00"/>
        <d v="2023-10-24T00:00:00"/>
        <d v="2023-10-28T00:00:00"/>
        <d v="2023-10-30T00:00:00"/>
        <d v="2023-10-31T00:00:00"/>
        <d v="2023-11-03T00:00:00"/>
        <d v="2023-11-07T00:00:00"/>
        <d v="2023-11-08T00:00:00"/>
        <d v="2023-11-13T00:00:00"/>
        <d v="2023-11-14T00:00:00"/>
        <d v="2023-11-15T00:00:00"/>
        <d v="2023-11-16T00:00:00"/>
        <d v="2023-11-17T00:00:00"/>
        <d v="2023-11-18T00:00:00"/>
        <d v="2023-11-20T00:00:00"/>
        <d v="2023-11-21T00:00:00"/>
        <d v="2023-11-23T00:00:00"/>
        <d v="2023-11-24T00:00:00"/>
        <d v="2023-11-29T00:00:00"/>
        <d v="2023-12-01T00:00:00"/>
        <d v="2023-12-03T00:00:00"/>
        <d v="2023-12-08T00:00:00"/>
        <d v="2023-12-13T00:00:00"/>
        <d v="2023-12-15T00:00:00"/>
        <d v="2023-12-19T00:00:00"/>
        <d v="2023-12-24T00:00:00"/>
        <d v="2023-12-28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9"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230126273149" backgroundQuery="1" createdVersion="8" refreshedVersion="8" minRefreshableVersion="3" recordCount="0" supportSubquery="1" supportAdvancedDrill="1" xr:uid="{05371301-AAA2-4013-98AD-08266CD56FED}">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9"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230126736111" backgroundQuery="1" createdVersion="8" refreshedVersion="8" minRefreshableVersion="3" recordCount="0" supportSubquery="1" supportAdvancedDrill="1" xr:uid="{D4F5C50B-077A-4E3C-ABB3-0A2073D19D27}">
  <cacheSource type="external" connectionId="1"/>
  <cacheFields count="1">
    <cacheField name="[calls].[Representative].[Representative]" caption="Representative" numFmtId="0" hierarchy="3" level="1">
      <sharedItems count="1">
        <s v="R03"/>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230127314811" backgroundQuery="1" createdVersion="8" refreshedVersion="8" minRefreshableVersion="3" recordCount="0" supportSubquery="1" supportAdvancedDrill="1" xr:uid="{4545EE3E-F38D-47E1-A4EE-06EAF2EDDE87}">
  <cacheSource type="external" connectionId="1"/>
  <cacheFields count="3">
    <cacheField name="[Measures].[Call Count]" caption="Call Count" numFmtId="0" hierarchy="19"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sai kona" refreshedDate="46150.158237847223" backgroundQuery="1" createdVersion="3" refreshedVersion="8" minRefreshableVersion="3" recordCount="0" supportSubquery="1" supportAdvancedDrill="1" xr:uid="{F27EF729-E380-4E25-B7C3-7A34AFAA8D00}">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of Call number]" caption="Count of Call number" measure="1" displayFolder="" measureGroup="calls" count="0">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Purchase Amount]" caption="Total Purchase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37132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E67386-8F76-48C9-94CE-585562499B9F}" name="Selected Rep" cacheId="1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8:A5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2">
    <format dxfId="2">
      <pivotArea dataOnly="0" labelOnly="1" fieldPosition="0">
        <references count="1">
          <reference field="0" count="0"/>
        </references>
      </pivotArea>
    </format>
    <format dxfId="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E6BFB9-B106-4145-BFB8-3AFE4680319F}"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2" subtotal="count" baseField="0" baseItem="0"/>
    <dataField fld="1"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29A9C5-01CE-494C-A38A-18A30D2E5302}" name="Week days Trend" cacheId="1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H24:I32" firstHeaderRow="1" firstDataRow="1" firstDataCol="1"/>
  <pivotFields count="3">
    <pivotField allDrilled="1" subtotalTop="0" showAll="0" dataSourceSort="1" defaultSubtotal="0" defaultAttributeDrillState="1"/>
    <pivotField axis="axisRow" allDrilled="1" subtotalTop="0" showAll="0" sortType="descending" defaultSubtotal="0" defaultAttributeDrillState="1">
      <items count="7">
        <item x="2"/>
        <item x="0"/>
        <item x="4"/>
        <item x="6"/>
        <item x="5"/>
        <item x="1"/>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formats count="2">
    <format dxfId="4">
      <pivotArea type="all" dataOnly="0" outline="0" fieldPosition="0"/>
    </format>
    <format dxfId="3">
      <pivotArea outline="0" collapsedLevelsAreSubtotals="1" fieldPosition="0"/>
    </format>
  </formats>
  <chartFormats count="1">
    <chartFormat chart="28" format="4"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F15B77-3596-4730-B55F-B4F1A31ED479}" name="citywise selection"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showEmptyRow="1" showEmptyCol="1" outline="1" outlineData="1" multipleFieldFilters="0" chartFormat="12">
  <location ref="A93:G112" firstHeaderRow="1" firstDataRow="2" firstDataCol="1"/>
  <pivotFields count="5">
    <pivotField allDrilled="1" subtotalTop="0" showAll="0" sortType="ascending" defaultSubtotal="0" defaultAttributeDrillState="1">
      <items count="6">
        <item x="0"/>
        <item x="1"/>
        <item x="2"/>
        <item x="3"/>
        <item x="4"/>
        <item x="5"/>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s>
  <rowFields count="2">
    <field x="3"/>
    <field x="4"/>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name="Sum of Purchase Amount" fld="2"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F38E146-187D-4E17-96C4-D67FB182BBDF}" name="rep satisfaction" cacheId="119"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12">
  <location ref="A78:B85" firstHeaderRow="1" firstDataRow="1" firstDataCol="1"/>
  <pivotFields count="3">
    <pivotField dataField="1" subtotalTop="0" showAll="0" defaultSubtotal="0"/>
    <pivotField axis="axisRow" allDrilled="1" subtotalTop="0" showAll="0" sortType="ascending"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1" baseItem="1"/>
  </dataFields>
  <chartFormats count="2">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4"/>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8D309F-85FF-4978-B695-6ADC633409B4}" name="Monthly Trend" cacheId="1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formats count="2">
    <format dxfId="6">
      <pivotArea type="all" dataOnly="0" outline="0" fieldPosition="0"/>
    </format>
    <format dxfId="5">
      <pivotArea outline="0" collapsedLevelsAreSubtotals="1" fieldPosition="0"/>
    </format>
  </formats>
  <chartFormats count="6">
    <chartFormat chart="18" format="4"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0"/>
          </reference>
          <reference field="2" count="1" selected="0">
            <x v="3"/>
          </reference>
        </references>
      </pivotArea>
    </chartFormat>
    <chartFormat chart="18" format="8">
      <pivotArea type="data" outline="0" fieldPosition="0">
        <references count="2">
          <reference field="4294967294" count="1" selected="0">
            <x v="0"/>
          </reference>
          <reference field="2" count="1" selected="0">
            <x v="5"/>
          </reference>
        </references>
      </pivotArea>
    </chartFormat>
    <chartFormat chart="18" format="9">
      <pivotArea type="data" outline="0" fieldPosition="0">
        <references count="2">
          <reference field="4294967294" count="1" selected="0">
            <x v="0"/>
          </reference>
          <reference field="2" count="1" selected="0">
            <x v="9"/>
          </reference>
        </references>
      </pivotArea>
    </chartFormat>
  </chartFormats>
  <pivotHierarchies count="28">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9BB3A3-FB0C-473E-A7C5-9E2A95E9492A}" name="Female Vs Male call count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67:D72"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0" count="1" selected="0">
            <x v="0"/>
          </reference>
        </references>
      </pivotArea>
    </chartFormat>
    <chartFormat chart="3" format="5" series="1">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C5D214-2B0A-43B4-8355-AE122EC6D790}" name="rep pivot" cacheId="10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3">
    <format dxfId="9">
      <pivotArea type="all" dataOnly="0" outline="0" fieldPosition="0"/>
    </format>
    <format dxfId="8">
      <pivotArea outline="0" collapsedLevelsAreSubtotals="1" fieldPosition="0"/>
    </format>
    <format dxfId="7">
      <pivotArea dataOnly="0" labelOnly="1" outline="0" fieldPosition="0">
        <references count="1">
          <reference field="4294967294" count="5">
            <x v="0"/>
            <x v="1"/>
            <x v="2"/>
            <x v="3"/>
            <x v="4"/>
          </reference>
        </references>
      </pivotArea>
    </format>
  </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552BC7-D546-48BA-9DF9-95F292CF482B}" name="summary 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
    <format dxfId="10">
      <pivotArea dataOnly="0" outline="0" fieldPosition="0">
        <references count="1">
          <reference field="4294967294" count="5">
            <x v="0"/>
            <x v="1"/>
            <x v="2"/>
            <x v="3"/>
            <x v="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Business woman raising hand</v>
  </rv>
  <rv s="0">
    <v>1</v>
    <v>5</v>
    <v>A person in a skirt and a cardigan
Description automatically generated</v>
  </rv>
  <rv s="0">
    <v>2</v>
    <v>5</v>
    <v>A person in a suit and tie
Description automatically generated</v>
  </rv>
  <rv s="0">
    <v>0</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60F9531-B298-4995-B857-0FBF255848E2}" sourceName="[calls].[Representative]">
  <pivotTables>
    <pivotTable tabId="6" name="rep pivot"/>
    <pivotTable tabId="6" name="Monthly Trend"/>
    <pivotTable tabId="6" name="Week days Trend"/>
    <pivotTable tabId="6" name="Selected Rep"/>
    <pivotTable tabId="6" name="rep satisfaction"/>
  </pivotTables>
  <data>
    <olap pivotCacheId="21371328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6962930-1AEA-494B-B734-5163E923D44F}" cache="Slicer_Representative" caption="Representative" level="1" style="Slicer Style 2"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4"/>
    <tableColumn id="5" xr3:uid="{5A35565E-8707-4DED-AD15-A0669D67B382}" name="Date of Call" dataDxfId="23"/>
    <tableColumn id="6" xr3:uid="{F2E4F158-B41F-47BC-8DF8-DFCADFEE4E40}" name="Purchase Amount"/>
    <tableColumn id="7" xr3:uid="{04B291B5-47BD-4F78-8FD8-D1551CCA6BD9}" name="Satisfaction Rating"/>
    <tableColumn id="8" xr3:uid="{6E4123C0-0B17-43B8-A142-A1E540CE974C}" name="FY" dataDxfId="22">
      <calculatedColumnFormula>IF(MONTH(calls[[#This Row],[Date of Call]])&lt;=6, YEAR(calls[[#This Row],[Date of Call]]), YEAR(calls[[#This Row],[Date of Call]])+1)</calculatedColumnFormula>
    </tableColumn>
    <tableColumn id="9" xr3:uid="{199FA271-5E9B-46CE-9BC6-2801F92CD17E}" name="Day of week" dataDxfId="21">
      <calculatedColumnFormula>TEXT(calls[[#This Row],[Date of Call]],"DDDD")</calculatedColumnFormula>
    </tableColumn>
    <tableColumn id="10" xr3:uid="{328CDB09-95B8-4D5E-9ED9-EF0D363735A1}" name="Duration Bucket" dataDxfId="2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8" headerRowBorderDxfId="17" tableBorderDxfId="16" totalsRowBorderDxfId="15">
  <autoFilter ref="Q3:T18" xr:uid="{27158F51-A707-4171-8A04-81FB0AABCBA5}"/>
  <tableColumns count="4">
    <tableColumn id="1" xr3:uid="{02688061-6A8C-4E23-B7FF-D00CD8B58CAC}" name="Customer ID" dataDxfId="14"/>
    <tableColumn id="2" xr3:uid="{771678B6-DB44-426B-9874-B4E421A440D5}" name="Gedner" dataDxfId="13"/>
    <tableColumn id="3" xr3:uid="{B0D41C62-587E-494D-B49A-603F2C05F8D3}" name="Age" dataDxfId="12"/>
    <tableColumn id="4" xr3:uid="{663F92D6-FE31-4D81-9E01-8D066DDC8A88}"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Aptos">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1" zoomScale="90" zoomScaleNormal="90" workbookViewId="0">
      <selection activeCell="N10" sqref="N10"/>
    </sheetView>
  </sheetViews>
  <sheetFormatPr defaultRowHeight="14.25" x14ac:dyDescent="0.45"/>
  <cols>
    <col min="1" max="1" width="3.265625" customWidth="1"/>
    <col min="2" max="2" width="14.59765625" customWidth="1"/>
    <col min="3" max="3" width="12.86328125" customWidth="1"/>
    <col min="4" max="4" width="16.59765625" customWidth="1"/>
    <col min="5" max="5" width="15" customWidth="1"/>
    <col min="6" max="6" width="16.1328125" customWidth="1"/>
    <col min="7" max="7" width="17.265625" customWidth="1"/>
    <col min="8" max="8" width="18.3984375" customWidth="1"/>
    <col min="9" max="9" width="17.265625" customWidth="1"/>
    <col min="10" max="12" width="15.46484375" customWidth="1"/>
    <col min="13" max="16" width="7.46484375" customWidth="1"/>
    <col min="17" max="17" width="14.59765625" customWidth="1"/>
    <col min="20" max="20" width="10.59765625" customWidth="1"/>
  </cols>
  <sheetData>
    <row r="1" spans="2:20" s="4" customFormat="1" ht="48" customHeight="1" x14ac:dyDescent="0.7">
      <c r="B1" s="51" t="s">
        <v>1087</v>
      </c>
    </row>
    <row r="2" spans="2:20" x14ac:dyDescent="0.45">
      <c r="R2" s="1"/>
    </row>
    <row r="3" spans="2:20" x14ac:dyDescent="0.45">
      <c r="B3" s="13" t="s">
        <v>25</v>
      </c>
      <c r="C3" s="13" t="s">
        <v>0</v>
      </c>
      <c r="D3" s="14" t="s">
        <v>1</v>
      </c>
      <c r="E3" s="15" t="s">
        <v>3</v>
      </c>
      <c r="F3" s="15" t="s">
        <v>4</v>
      </c>
      <c r="G3" s="13" t="s">
        <v>2</v>
      </c>
      <c r="H3" s="13" t="s">
        <v>994</v>
      </c>
      <c r="I3" t="s">
        <v>1035</v>
      </c>
      <c r="J3" t="s">
        <v>1036</v>
      </c>
      <c r="K3" t="s">
        <v>1037</v>
      </c>
      <c r="L3" t="s">
        <v>1038</v>
      </c>
      <c r="Q3" s="7" t="s">
        <v>0</v>
      </c>
      <c r="R3" s="8" t="s">
        <v>995</v>
      </c>
      <c r="S3" s="8" t="s">
        <v>996</v>
      </c>
      <c r="T3" s="9" t="s">
        <v>997</v>
      </c>
    </row>
    <row r="4" spans="2:20" x14ac:dyDescent="0.45">
      <c r="B4" t="s">
        <v>26</v>
      </c>
      <c r="C4" t="s">
        <v>20</v>
      </c>
      <c r="D4">
        <v>116</v>
      </c>
      <c r="E4" s="16" t="s">
        <v>10</v>
      </c>
      <c r="F4" s="17">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5" t="s">
        <v>17</v>
      </c>
      <c r="R4" s="3" t="s">
        <v>998</v>
      </c>
      <c r="S4" s="2">
        <v>41</v>
      </c>
      <c r="T4" s="6" t="s">
        <v>1000</v>
      </c>
    </row>
    <row r="5" spans="2:20" x14ac:dyDescent="0.45">
      <c r="B5" t="s">
        <v>27</v>
      </c>
      <c r="C5" t="s">
        <v>12</v>
      </c>
      <c r="D5">
        <v>119</v>
      </c>
      <c r="E5" s="16" t="s">
        <v>10</v>
      </c>
      <c r="F5" s="17">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5" t="s">
        <v>24</v>
      </c>
      <c r="R5" s="3" t="s">
        <v>998</v>
      </c>
      <c r="S5" s="2">
        <v>31</v>
      </c>
      <c r="T5" s="6" t="s">
        <v>1001</v>
      </c>
    </row>
    <row r="6" spans="2:20" x14ac:dyDescent="0.45">
      <c r="B6" t="s">
        <v>28</v>
      </c>
      <c r="C6" t="s">
        <v>23</v>
      </c>
      <c r="D6">
        <v>68</v>
      </c>
      <c r="E6" s="16" t="s">
        <v>9</v>
      </c>
      <c r="F6" s="17">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5" t="s">
        <v>20</v>
      </c>
      <c r="R6" s="3" t="s">
        <v>998</v>
      </c>
      <c r="S6" s="2">
        <v>26</v>
      </c>
      <c r="T6" s="6" t="s">
        <v>1002</v>
      </c>
    </row>
    <row r="7" spans="2:20" x14ac:dyDescent="0.45">
      <c r="B7" t="s">
        <v>29</v>
      </c>
      <c r="C7" t="s">
        <v>21</v>
      </c>
      <c r="D7">
        <v>119</v>
      </c>
      <c r="E7" s="16" t="s">
        <v>9</v>
      </c>
      <c r="F7" s="17">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5" t="s">
        <v>12</v>
      </c>
      <c r="R7" s="3" t="s">
        <v>998</v>
      </c>
      <c r="S7" s="2">
        <v>36</v>
      </c>
      <c r="T7" s="6" t="s">
        <v>1002</v>
      </c>
    </row>
    <row r="8" spans="2:20" x14ac:dyDescent="0.45">
      <c r="B8" t="s">
        <v>30</v>
      </c>
      <c r="C8" t="s">
        <v>8</v>
      </c>
      <c r="D8">
        <v>128</v>
      </c>
      <c r="E8" s="16" t="s">
        <v>11</v>
      </c>
      <c r="F8" s="17">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5" t="s">
        <v>23</v>
      </c>
      <c r="R8" s="3" t="s">
        <v>998</v>
      </c>
      <c r="S8" s="2">
        <v>37</v>
      </c>
      <c r="T8" s="6" t="s">
        <v>1000</v>
      </c>
    </row>
    <row r="9" spans="2:20" x14ac:dyDescent="0.45">
      <c r="B9" t="s">
        <v>31</v>
      </c>
      <c r="C9" t="s">
        <v>8</v>
      </c>
      <c r="D9">
        <v>49</v>
      </c>
      <c r="E9" s="16" t="s">
        <v>9</v>
      </c>
      <c r="F9" s="17">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5" t="s">
        <v>7</v>
      </c>
      <c r="R9" s="3" t="s">
        <v>998</v>
      </c>
      <c r="S9" s="2">
        <v>23</v>
      </c>
      <c r="T9" s="6" t="s">
        <v>1000</v>
      </c>
    </row>
    <row r="10" spans="2:20" x14ac:dyDescent="0.45">
      <c r="B10" t="s">
        <v>32</v>
      </c>
      <c r="C10" t="s">
        <v>15</v>
      </c>
      <c r="D10">
        <v>84</v>
      </c>
      <c r="E10" s="16" t="s">
        <v>10</v>
      </c>
      <c r="F10" s="17">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5" t="s">
        <v>15</v>
      </c>
      <c r="R10" s="3" t="s">
        <v>999</v>
      </c>
      <c r="S10" s="2">
        <v>22</v>
      </c>
      <c r="T10" s="6" t="s">
        <v>1001</v>
      </c>
    </row>
    <row r="11" spans="2:20" x14ac:dyDescent="0.45">
      <c r="B11" t="s">
        <v>33</v>
      </c>
      <c r="C11" t="s">
        <v>20</v>
      </c>
      <c r="D11">
        <v>103</v>
      </c>
      <c r="E11" s="16" t="s">
        <v>13</v>
      </c>
      <c r="F11" s="17">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5" t="s">
        <v>5</v>
      </c>
      <c r="R11" s="3" t="s">
        <v>999</v>
      </c>
      <c r="S11" s="2">
        <v>42</v>
      </c>
      <c r="T11" s="6" t="s">
        <v>1001</v>
      </c>
    </row>
    <row r="12" spans="2:20" x14ac:dyDescent="0.45">
      <c r="B12" t="s">
        <v>34</v>
      </c>
      <c r="C12" t="s">
        <v>23</v>
      </c>
      <c r="D12">
        <v>31</v>
      </c>
      <c r="E12" s="16" t="s">
        <v>9</v>
      </c>
      <c r="F12" s="17">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5" t="s">
        <v>22</v>
      </c>
      <c r="R12" s="3" t="s">
        <v>999</v>
      </c>
      <c r="S12" s="2">
        <v>25</v>
      </c>
      <c r="T12" s="6" t="s">
        <v>1000</v>
      </c>
    </row>
    <row r="13" spans="2:20" x14ac:dyDescent="0.45">
      <c r="B13" t="s">
        <v>35</v>
      </c>
      <c r="C13" t="s">
        <v>18</v>
      </c>
      <c r="D13">
        <v>44</v>
      </c>
      <c r="E13" s="16" t="s">
        <v>6</v>
      </c>
      <c r="F13" s="17">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5" t="s">
        <v>18</v>
      </c>
      <c r="R13" s="3" t="s">
        <v>999</v>
      </c>
      <c r="S13" s="2">
        <v>30</v>
      </c>
      <c r="T13" s="6" t="s">
        <v>1001</v>
      </c>
    </row>
    <row r="14" spans="2:20" x14ac:dyDescent="0.45">
      <c r="B14" t="s">
        <v>36</v>
      </c>
      <c r="C14" t="s">
        <v>8</v>
      </c>
      <c r="D14">
        <v>102</v>
      </c>
      <c r="E14" s="16" t="s">
        <v>9</v>
      </c>
      <c r="F14" s="17">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5" t="s">
        <v>8</v>
      </c>
      <c r="R14" s="3" t="s">
        <v>999</v>
      </c>
      <c r="S14" s="2">
        <v>30</v>
      </c>
      <c r="T14" s="6" t="s">
        <v>1002</v>
      </c>
    </row>
    <row r="15" spans="2:20" x14ac:dyDescent="0.45">
      <c r="B15" t="s">
        <v>37</v>
      </c>
      <c r="C15" t="s">
        <v>14</v>
      </c>
      <c r="D15">
        <v>135</v>
      </c>
      <c r="E15" s="16" t="s">
        <v>10</v>
      </c>
      <c r="F15" s="17">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5" t="s">
        <v>16</v>
      </c>
      <c r="R15" s="3" t="s">
        <v>999</v>
      </c>
      <c r="S15" s="2">
        <v>28</v>
      </c>
      <c r="T15" s="6" t="s">
        <v>1002</v>
      </c>
    </row>
    <row r="16" spans="2:20" x14ac:dyDescent="0.45">
      <c r="B16" t="s">
        <v>38</v>
      </c>
      <c r="C16" t="s">
        <v>24</v>
      </c>
      <c r="D16">
        <v>98</v>
      </c>
      <c r="E16" s="16" t="s">
        <v>9</v>
      </c>
      <c r="F16" s="17">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5" t="s">
        <v>14</v>
      </c>
      <c r="R16" s="3" t="s">
        <v>999</v>
      </c>
      <c r="S16" s="2">
        <v>37</v>
      </c>
      <c r="T16" s="6" t="s">
        <v>1001</v>
      </c>
    </row>
    <row r="17" spans="2:20" x14ac:dyDescent="0.45">
      <c r="B17" t="s">
        <v>39</v>
      </c>
      <c r="C17" t="s">
        <v>18</v>
      </c>
      <c r="D17">
        <v>139</v>
      </c>
      <c r="E17" s="16" t="s">
        <v>9</v>
      </c>
      <c r="F17" s="17">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5" t="s">
        <v>21</v>
      </c>
      <c r="R17" s="3" t="s">
        <v>999</v>
      </c>
      <c r="S17" s="2">
        <v>38</v>
      </c>
      <c r="T17" s="6" t="s">
        <v>1000</v>
      </c>
    </row>
    <row r="18" spans="2:20" x14ac:dyDescent="0.45">
      <c r="B18" t="s">
        <v>40</v>
      </c>
      <c r="C18" t="s">
        <v>14</v>
      </c>
      <c r="D18">
        <v>48</v>
      </c>
      <c r="E18" s="16" t="s">
        <v>11</v>
      </c>
      <c r="F18" s="17">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0" t="s">
        <v>19</v>
      </c>
      <c r="R18" s="18" t="s">
        <v>999</v>
      </c>
      <c r="S18" s="11">
        <v>43</v>
      </c>
      <c r="T18" s="12" t="s">
        <v>1001</v>
      </c>
    </row>
    <row r="19" spans="2:20" x14ac:dyDescent="0.45">
      <c r="B19" t="s">
        <v>41</v>
      </c>
      <c r="C19" t="s">
        <v>18</v>
      </c>
      <c r="D19">
        <v>176</v>
      </c>
      <c r="E19" s="16" t="s">
        <v>10</v>
      </c>
      <c r="F19" s="17">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45">
      <c r="B20" t="s">
        <v>42</v>
      </c>
      <c r="C20" t="s">
        <v>18</v>
      </c>
      <c r="D20">
        <v>99</v>
      </c>
      <c r="E20" s="16" t="s">
        <v>11</v>
      </c>
      <c r="F20" s="17">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45">
      <c r="B21" t="s">
        <v>43</v>
      </c>
      <c r="C21" t="s">
        <v>22</v>
      </c>
      <c r="D21">
        <v>28</v>
      </c>
      <c r="E21" s="16" t="s">
        <v>6</v>
      </c>
      <c r="F21" s="17">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45">
      <c r="B22" t="s">
        <v>44</v>
      </c>
      <c r="C22" t="s">
        <v>15</v>
      </c>
      <c r="D22">
        <v>54</v>
      </c>
      <c r="E22" s="16" t="s">
        <v>9</v>
      </c>
      <c r="F22" s="17">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45">
      <c r="B23" t="s">
        <v>45</v>
      </c>
      <c r="C23" t="s">
        <v>7</v>
      </c>
      <c r="D23">
        <v>48</v>
      </c>
      <c r="E23" s="16" t="s">
        <v>10</v>
      </c>
      <c r="F23" s="17">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45">
      <c r="B24" t="s">
        <v>46</v>
      </c>
      <c r="C24" t="s">
        <v>12</v>
      </c>
      <c r="D24">
        <v>128</v>
      </c>
      <c r="E24" s="16" t="s">
        <v>10</v>
      </c>
      <c r="F24" s="17">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45">
      <c r="B25" t="s">
        <v>47</v>
      </c>
      <c r="C25" t="s">
        <v>12</v>
      </c>
      <c r="D25">
        <v>38</v>
      </c>
      <c r="E25" s="16" t="s">
        <v>13</v>
      </c>
      <c r="F25" s="17">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45">
      <c r="B26" t="s">
        <v>48</v>
      </c>
      <c r="C26" t="s">
        <v>20</v>
      </c>
      <c r="D26">
        <v>67</v>
      </c>
      <c r="E26" s="16" t="s">
        <v>13</v>
      </c>
      <c r="F26" s="17">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45">
      <c r="B27" t="s">
        <v>49</v>
      </c>
      <c r="C27" t="s">
        <v>19</v>
      </c>
      <c r="D27">
        <v>58</v>
      </c>
      <c r="E27" s="16" t="s">
        <v>9</v>
      </c>
      <c r="F27" s="17">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45">
      <c r="B28" t="s">
        <v>50</v>
      </c>
      <c r="C28" t="s">
        <v>18</v>
      </c>
      <c r="D28">
        <v>54</v>
      </c>
      <c r="E28" s="16" t="s">
        <v>11</v>
      </c>
      <c r="F28" s="17">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45">
      <c r="B29" t="s">
        <v>51</v>
      </c>
      <c r="C29" t="s">
        <v>16</v>
      </c>
      <c r="D29">
        <v>28</v>
      </c>
      <c r="E29" s="16" t="s">
        <v>10</v>
      </c>
      <c r="F29" s="17">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45">
      <c r="B30" t="s">
        <v>52</v>
      </c>
      <c r="C30" t="s">
        <v>24</v>
      </c>
      <c r="D30">
        <v>73</v>
      </c>
      <c r="E30" s="16" t="s">
        <v>10</v>
      </c>
      <c r="F30" s="17">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45">
      <c r="B31" t="s">
        <v>53</v>
      </c>
      <c r="C31" t="s">
        <v>8</v>
      </c>
      <c r="D31">
        <v>81</v>
      </c>
      <c r="E31" s="16" t="s">
        <v>10</v>
      </c>
      <c r="F31" s="17">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45">
      <c r="B32" t="s">
        <v>54</v>
      </c>
      <c r="C32" t="s">
        <v>22</v>
      </c>
      <c r="D32">
        <v>31</v>
      </c>
      <c r="E32" s="16" t="s">
        <v>13</v>
      </c>
      <c r="F32" s="17">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45">
      <c r="B33" t="s">
        <v>55</v>
      </c>
      <c r="C33" t="s">
        <v>19</v>
      </c>
      <c r="D33">
        <v>155</v>
      </c>
      <c r="E33" s="16" t="s">
        <v>11</v>
      </c>
      <c r="F33" s="17">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45">
      <c r="B34" t="s">
        <v>56</v>
      </c>
      <c r="C34" t="s">
        <v>22</v>
      </c>
      <c r="D34">
        <v>80</v>
      </c>
      <c r="E34" s="16" t="s">
        <v>10</v>
      </c>
      <c r="F34" s="17">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45">
      <c r="B35" t="s">
        <v>57</v>
      </c>
      <c r="C35" t="s">
        <v>8</v>
      </c>
      <c r="D35">
        <v>82</v>
      </c>
      <c r="E35" s="16" t="s">
        <v>10</v>
      </c>
      <c r="F35" s="17">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45">
      <c r="B36" t="s">
        <v>58</v>
      </c>
      <c r="C36" t="s">
        <v>8</v>
      </c>
      <c r="D36">
        <v>29</v>
      </c>
      <c r="E36" s="16" t="s">
        <v>11</v>
      </c>
      <c r="F36" s="17">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45">
      <c r="B37" t="s">
        <v>59</v>
      </c>
      <c r="C37" t="s">
        <v>7</v>
      </c>
      <c r="D37">
        <v>160</v>
      </c>
      <c r="E37" s="16" t="s">
        <v>9</v>
      </c>
      <c r="F37" s="17">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45">
      <c r="B38" t="s">
        <v>60</v>
      </c>
      <c r="C38" t="s">
        <v>17</v>
      </c>
      <c r="D38">
        <v>105</v>
      </c>
      <c r="E38" s="16" t="s">
        <v>10</v>
      </c>
      <c r="F38" s="17">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45">
      <c r="B39" t="s">
        <v>61</v>
      </c>
      <c r="C39" t="s">
        <v>22</v>
      </c>
      <c r="D39">
        <v>75</v>
      </c>
      <c r="E39" s="16" t="s">
        <v>6</v>
      </c>
      <c r="F39" s="17">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45">
      <c r="B40" t="s">
        <v>62</v>
      </c>
      <c r="C40" t="s">
        <v>19</v>
      </c>
      <c r="D40">
        <v>94</v>
      </c>
      <c r="E40" s="16" t="s">
        <v>6</v>
      </c>
      <c r="F40" s="17">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45">
      <c r="B41" t="s">
        <v>63</v>
      </c>
      <c r="C41" t="s">
        <v>12</v>
      </c>
      <c r="D41">
        <v>90</v>
      </c>
      <c r="E41" s="16" t="s">
        <v>9</v>
      </c>
      <c r="F41" s="17">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45">
      <c r="B42" t="s">
        <v>64</v>
      </c>
      <c r="C42" t="s">
        <v>19</v>
      </c>
      <c r="D42">
        <v>81</v>
      </c>
      <c r="E42" s="16" t="s">
        <v>13</v>
      </c>
      <c r="F42" s="17">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45">
      <c r="B43" t="s">
        <v>65</v>
      </c>
      <c r="C43" t="s">
        <v>22</v>
      </c>
      <c r="D43">
        <v>106</v>
      </c>
      <c r="E43" s="16" t="s">
        <v>10</v>
      </c>
      <c r="F43" s="17">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45">
      <c r="B44" t="s">
        <v>66</v>
      </c>
      <c r="C44" t="s">
        <v>12</v>
      </c>
      <c r="D44">
        <v>74</v>
      </c>
      <c r="E44" s="16" t="s">
        <v>13</v>
      </c>
      <c r="F44" s="17">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45">
      <c r="B45" t="s">
        <v>67</v>
      </c>
      <c r="C45" t="s">
        <v>18</v>
      </c>
      <c r="D45">
        <v>105</v>
      </c>
      <c r="E45" s="16" t="s">
        <v>9</v>
      </c>
      <c r="F45" s="17">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45">
      <c r="B46" t="s">
        <v>68</v>
      </c>
      <c r="C46" t="s">
        <v>22</v>
      </c>
      <c r="D46">
        <v>89</v>
      </c>
      <c r="E46" s="16" t="s">
        <v>10</v>
      </c>
      <c r="F46" s="17">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45">
      <c r="B47" t="s">
        <v>69</v>
      </c>
      <c r="C47" t="s">
        <v>14</v>
      </c>
      <c r="D47">
        <v>132</v>
      </c>
      <c r="E47" s="16" t="s">
        <v>6</v>
      </c>
      <c r="F47" s="17">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45">
      <c r="B48" t="s">
        <v>70</v>
      </c>
      <c r="C48" t="s">
        <v>17</v>
      </c>
      <c r="D48">
        <v>105</v>
      </c>
      <c r="E48" s="16" t="s">
        <v>11</v>
      </c>
      <c r="F48" s="17">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45">
      <c r="B49" t="s">
        <v>71</v>
      </c>
      <c r="C49" t="s">
        <v>8</v>
      </c>
      <c r="D49">
        <v>13</v>
      </c>
      <c r="E49" s="16" t="s">
        <v>6</v>
      </c>
      <c r="F49" s="17">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45">
      <c r="B50" t="s">
        <v>72</v>
      </c>
      <c r="C50" t="s">
        <v>21</v>
      </c>
      <c r="D50">
        <v>131</v>
      </c>
      <c r="E50" s="16" t="s">
        <v>11</v>
      </c>
      <c r="F50" s="17">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45">
      <c r="B51" t="s">
        <v>73</v>
      </c>
      <c r="C51" t="s">
        <v>12</v>
      </c>
      <c r="D51">
        <v>104</v>
      </c>
      <c r="E51" s="16" t="s">
        <v>10</v>
      </c>
      <c r="F51" s="17">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45">
      <c r="B52" t="s">
        <v>74</v>
      </c>
      <c r="C52" t="s">
        <v>20</v>
      </c>
      <c r="D52">
        <v>90</v>
      </c>
      <c r="E52" s="16" t="s">
        <v>9</v>
      </c>
      <c r="F52" s="17">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45">
      <c r="B53" t="s">
        <v>75</v>
      </c>
      <c r="C53" t="s">
        <v>16</v>
      </c>
      <c r="D53">
        <v>37</v>
      </c>
      <c r="E53" s="16" t="s">
        <v>9</v>
      </c>
      <c r="F53" s="17">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45">
      <c r="B54" t="s">
        <v>76</v>
      </c>
      <c r="C54" t="s">
        <v>24</v>
      </c>
      <c r="D54">
        <v>149</v>
      </c>
      <c r="E54" s="16" t="s">
        <v>11</v>
      </c>
      <c r="F54" s="17">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45">
      <c r="B55" t="s">
        <v>77</v>
      </c>
      <c r="C55" t="s">
        <v>14</v>
      </c>
      <c r="D55">
        <v>100</v>
      </c>
      <c r="E55" s="16" t="s">
        <v>13</v>
      </c>
      <c r="F55" s="17">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45">
      <c r="B56" t="s">
        <v>78</v>
      </c>
      <c r="C56" t="s">
        <v>14</v>
      </c>
      <c r="D56">
        <v>79</v>
      </c>
      <c r="E56" s="16" t="s">
        <v>6</v>
      </c>
      <c r="F56" s="17">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45">
      <c r="B57" t="s">
        <v>79</v>
      </c>
      <c r="C57" t="s">
        <v>5</v>
      </c>
      <c r="D57">
        <v>157</v>
      </c>
      <c r="E57" s="16" t="s">
        <v>11</v>
      </c>
      <c r="F57" s="17">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45">
      <c r="B58" t="s">
        <v>80</v>
      </c>
      <c r="C58" t="s">
        <v>14</v>
      </c>
      <c r="D58">
        <v>59</v>
      </c>
      <c r="E58" s="16" t="s">
        <v>10</v>
      </c>
      <c r="F58" s="17">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45">
      <c r="B59" t="s">
        <v>81</v>
      </c>
      <c r="C59" t="s">
        <v>16</v>
      </c>
      <c r="D59">
        <v>83</v>
      </c>
      <c r="E59" s="16" t="s">
        <v>11</v>
      </c>
      <c r="F59" s="17">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45">
      <c r="B60" t="s">
        <v>82</v>
      </c>
      <c r="C60" t="s">
        <v>5</v>
      </c>
      <c r="D60">
        <v>58</v>
      </c>
      <c r="E60" s="16" t="s">
        <v>9</v>
      </c>
      <c r="F60" s="17">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45">
      <c r="B61" t="s">
        <v>83</v>
      </c>
      <c r="C61" t="s">
        <v>19</v>
      </c>
      <c r="D61">
        <v>118</v>
      </c>
      <c r="E61" s="16" t="s">
        <v>9</v>
      </c>
      <c r="F61" s="17">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45">
      <c r="B62" t="s">
        <v>84</v>
      </c>
      <c r="C62" t="s">
        <v>8</v>
      </c>
      <c r="D62">
        <v>63</v>
      </c>
      <c r="E62" s="16" t="s">
        <v>10</v>
      </c>
      <c r="F62" s="17">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45">
      <c r="B63" t="s">
        <v>85</v>
      </c>
      <c r="C63" t="s">
        <v>5</v>
      </c>
      <c r="D63">
        <v>95</v>
      </c>
      <c r="E63" s="16" t="s">
        <v>9</v>
      </c>
      <c r="F63" s="17">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45">
      <c r="B64" t="s">
        <v>86</v>
      </c>
      <c r="C64" t="s">
        <v>14</v>
      </c>
      <c r="D64">
        <v>74</v>
      </c>
      <c r="E64" s="16" t="s">
        <v>11</v>
      </c>
      <c r="F64" s="17">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45">
      <c r="B65" t="s">
        <v>87</v>
      </c>
      <c r="C65" t="s">
        <v>18</v>
      </c>
      <c r="D65">
        <v>130</v>
      </c>
      <c r="E65" s="16" t="s">
        <v>13</v>
      </c>
      <c r="F65" s="17">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45">
      <c r="B66" t="s">
        <v>88</v>
      </c>
      <c r="C66" t="s">
        <v>19</v>
      </c>
      <c r="D66">
        <v>110</v>
      </c>
      <c r="E66" s="16" t="s">
        <v>6</v>
      </c>
      <c r="F66" s="17">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45">
      <c r="B67" t="s">
        <v>89</v>
      </c>
      <c r="C67" t="s">
        <v>14</v>
      </c>
      <c r="D67">
        <v>71</v>
      </c>
      <c r="E67" s="16" t="s">
        <v>10</v>
      </c>
      <c r="F67" s="17">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45">
      <c r="B68" t="s">
        <v>90</v>
      </c>
      <c r="C68" t="s">
        <v>17</v>
      </c>
      <c r="D68">
        <v>147</v>
      </c>
      <c r="E68" s="16" t="s">
        <v>13</v>
      </c>
      <c r="F68" s="17">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45">
      <c r="B69" t="s">
        <v>91</v>
      </c>
      <c r="C69" t="s">
        <v>12</v>
      </c>
      <c r="D69">
        <v>69</v>
      </c>
      <c r="E69" s="16" t="s">
        <v>9</v>
      </c>
      <c r="F69" s="17">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45">
      <c r="B70" t="s">
        <v>92</v>
      </c>
      <c r="C70" t="s">
        <v>19</v>
      </c>
      <c r="D70">
        <v>50</v>
      </c>
      <c r="E70" s="16" t="s">
        <v>10</v>
      </c>
      <c r="F70" s="17">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45">
      <c r="B71" t="s">
        <v>93</v>
      </c>
      <c r="C71" t="s">
        <v>18</v>
      </c>
      <c r="D71">
        <v>124</v>
      </c>
      <c r="E71" s="16" t="s">
        <v>13</v>
      </c>
      <c r="F71" s="17">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45">
      <c r="B72" t="s">
        <v>94</v>
      </c>
      <c r="C72" t="s">
        <v>23</v>
      </c>
      <c r="D72">
        <v>81</v>
      </c>
      <c r="E72" s="16" t="s">
        <v>11</v>
      </c>
      <c r="F72" s="17">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45">
      <c r="B73" t="s">
        <v>95</v>
      </c>
      <c r="C73" t="s">
        <v>7</v>
      </c>
      <c r="D73">
        <v>141</v>
      </c>
      <c r="E73" s="16" t="s">
        <v>6</v>
      </c>
      <c r="F73" s="17">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45">
      <c r="B74" t="s">
        <v>96</v>
      </c>
      <c r="C74" t="s">
        <v>7</v>
      </c>
      <c r="D74">
        <v>168</v>
      </c>
      <c r="E74" s="16" t="s">
        <v>6</v>
      </c>
      <c r="F74" s="17">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45">
      <c r="B75" t="s">
        <v>97</v>
      </c>
      <c r="C75" t="s">
        <v>17</v>
      </c>
      <c r="D75">
        <v>101</v>
      </c>
      <c r="E75" s="16" t="s">
        <v>11</v>
      </c>
      <c r="F75" s="17">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45">
      <c r="B76" t="s">
        <v>98</v>
      </c>
      <c r="C76" t="s">
        <v>14</v>
      </c>
      <c r="D76">
        <v>67</v>
      </c>
      <c r="E76" s="16" t="s">
        <v>11</v>
      </c>
      <c r="F76" s="17">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45">
      <c r="B77" t="s">
        <v>99</v>
      </c>
      <c r="C77" t="s">
        <v>5</v>
      </c>
      <c r="D77">
        <v>114</v>
      </c>
      <c r="E77" s="16" t="s">
        <v>6</v>
      </c>
      <c r="F77" s="17">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45">
      <c r="B78" t="s">
        <v>100</v>
      </c>
      <c r="C78" t="s">
        <v>23</v>
      </c>
      <c r="D78">
        <v>42</v>
      </c>
      <c r="E78" s="16" t="s">
        <v>11</v>
      </c>
      <c r="F78" s="17">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45">
      <c r="B79" t="s">
        <v>101</v>
      </c>
      <c r="C79" t="s">
        <v>8</v>
      </c>
      <c r="D79">
        <v>69</v>
      </c>
      <c r="E79" s="16" t="s">
        <v>6</v>
      </c>
      <c r="F79" s="17">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45">
      <c r="B80" t="s">
        <v>102</v>
      </c>
      <c r="C80" t="s">
        <v>18</v>
      </c>
      <c r="D80">
        <v>145</v>
      </c>
      <c r="E80" s="16" t="s">
        <v>9</v>
      </c>
      <c r="F80" s="17">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45">
      <c r="B81" t="s">
        <v>103</v>
      </c>
      <c r="C81" t="s">
        <v>12</v>
      </c>
      <c r="D81">
        <v>43</v>
      </c>
      <c r="E81" s="16" t="s">
        <v>6</v>
      </c>
      <c r="F81" s="17">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45">
      <c r="B82" t="s">
        <v>104</v>
      </c>
      <c r="C82" t="s">
        <v>8</v>
      </c>
      <c r="D82">
        <v>62</v>
      </c>
      <c r="E82" s="16" t="s">
        <v>10</v>
      </c>
      <c r="F82" s="17">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45">
      <c r="B83" t="s">
        <v>105</v>
      </c>
      <c r="C83" t="s">
        <v>22</v>
      </c>
      <c r="D83">
        <v>79</v>
      </c>
      <c r="E83" s="16" t="s">
        <v>6</v>
      </c>
      <c r="F83" s="17">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45">
      <c r="B84" t="s">
        <v>106</v>
      </c>
      <c r="C84" t="s">
        <v>18</v>
      </c>
      <c r="D84">
        <v>45</v>
      </c>
      <c r="E84" s="16" t="s">
        <v>13</v>
      </c>
      <c r="F84" s="17">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45">
      <c r="B85" t="s">
        <v>107</v>
      </c>
      <c r="C85" t="s">
        <v>8</v>
      </c>
      <c r="D85">
        <v>137</v>
      </c>
      <c r="E85" s="16" t="s">
        <v>6</v>
      </c>
      <c r="F85" s="17">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45">
      <c r="B86" t="s">
        <v>108</v>
      </c>
      <c r="C86" t="s">
        <v>5</v>
      </c>
      <c r="D86">
        <v>109</v>
      </c>
      <c r="E86" s="16" t="s">
        <v>10</v>
      </c>
      <c r="F86" s="17">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45">
      <c r="B87" t="s">
        <v>109</v>
      </c>
      <c r="C87" t="s">
        <v>12</v>
      </c>
      <c r="D87">
        <v>78</v>
      </c>
      <c r="E87" s="16" t="s">
        <v>10</v>
      </c>
      <c r="F87" s="17">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45">
      <c r="B88" t="s">
        <v>110</v>
      </c>
      <c r="C88" t="s">
        <v>8</v>
      </c>
      <c r="D88">
        <v>137</v>
      </c>
      <c r="E88" s="16" t="s">
        <v>13</v>
      </c>
      <c r="F88" s="17">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45">
      <c r="B89" t="s">
        <v>111</v>
      </c>
      <c r="C89" t="s">
        <v>21</v>
      </c>
      <c r="D89">
        <v>99</v>
      </c>
      <c r="E89" s="16" t="s">
        <v>10</v>
      </c>
      <c r="F89" s="17">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45">
      <c r="B90" t="s">
        <v>112</v>
      </c>
      <c r="C90" t="s">
        <v>19</v>
      </c>
      <c r="D90">
        <v>100</v>
      </c>
      <c r="E90" s="16" t="s">
        <v>10</v>
      </c>
      <c r="F90" s="17">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45">
      <c r="B91" t="s">
        <v>113</v>
      </c>
      <c r="C91" t="s">
        <v>12</v>
      </c>
      <c r="D91">
        <v>47</v>
      </c>
      <c r="E91" s="16" t="s">
        <v>9</v>
      </c>
      <c r="F91" s="17">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45">
      <c r="B92" t="s">
        <v>114</v>
      </c>
      <c r="C92" t="s">
        <v>5</v>
      </c>
      <c r="D92">
        <v>87</v>
      </c>
      <c r="E92" s="16" t="s">
        <v>11</v>
      </c>
      <c r="F92" s="17">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45">
      <c r="B93" t="s">
        <v>115</v>
      </c>
      <c r="C93" t="s">
        <v>21</v>
      </c>
      <c r="D93">
        <v>143</v>
      </c>
      <c r="E93" s="16" t="s">
        <v>11</v>
      </c>
      <c r="F93" s="17">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45">
      <c r="B94" t="s">
        <v>116</v>
      </c>
      <c r="C94" t="s">
        <v>19</v>
      </c>
      <c r="D94">
        <v>84</v>
      </c>
      <c r="E94" s="16" t="s">
        <v>10</v>
      </c>
      <c r="F94" s="17">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45">
      <c r="B95" t="s">
        <v>117</v>
      </c>
      <c r="C95" t="s">
        <v>17</v>
      </c>
      <c r="D95">
        <v>55</v>
      </c>
      <c r="E95" s="16" t="s">
        <v>11</v>
      </c>
      <c r="F95" s="17">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45">
      <c r="B96" t="s">
        <v>118</v>
      </c>
      <c r="C96" t="s">
        <v>15</v>
      </c>
      <c r="D96">
        <v>135</v>
      </c>
      <c r="E96" s="16" t="s">
        <v>13</v>
      </c>
      <c r="F96" s="17">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45">
      <c r="B97" t="s">
        <v>119</v>
      </c>
      <c r="C97" t="s">
        <v>16</v>
      </c>
      <c r="D97">
        <v>152</v>
      </c>
      <c r="E97" s="16" t="s">
        <v>9</v>
      </c>
      <c r="F97" s="17">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45">
      <c r="B98" t="s">
        <v>120</v>
      </c>
      <c r="C98" t="s">
        <v>23</v>
      </c>
      <c r="D98">
        <v>132</v>
      </c>
      <c r="E98" s="16" t="s">
        <v>9</v>
      </c>
      <c r="F98" s="17">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45">
      <c r="B99" t="s">
        <v>121</v>
      </c>
      <c r="C99" t="s">
        <v>7</v>
      </c>
      <c r="D99">
        <v>60</v>
      </c>
      <c r="E99" s="16" t="s">
        <v>10</v>
      </c>
      <c r="F99" s="17">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45">
      <c r="B100" t="s">
        <v>122</v>
      </c>
      <c r="C100" t="s">
        <v>16</v>
      </c>
      <c r="D100">
        <v>95</v>
      </c>
      <c r="E100" s="16" t="s">
        <v>9</v>
      </c>
      <c r="F100" s="17">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45">
      <c r="B101" t="s">
        <v>123</v>
      </c>
      <c r="C101" t="s">
        <v>20</v>
      </c>
      <c r="D101">
        <v>96</v>
      </c>
      <c r="E101" s="16" t="s">
        <v>6</v>
      </c>
      <c r="F101" s="17">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45">
      <c r="B102" t="s">
        <v>124</v>
      </c>
      <c r="C102" t="s">
        <v>17</v>
      </c>
      <c r="D102">
        <v>45</v>
      </c>
      <c r="E102" s="16" t="s">
        <v>10</v>
      </c>
      <c r="F102" s="17">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45">
      <c r="B103" t="s">
        <v>125</v>
      </c>
      <c r="C103" t="s">
        <v>20</v>
      </c>
      <c r="D103">
        <v>132</v>
      </c>
      <c r="E103" s="16" t="s">
        <v>6</v>
      </c>
      <c r="F103" s="17">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45">
      <c r="B104" t="s">
        <v>126</v>
      </c>
      <c r="C104" t="s">
        <v>14</v>
      </c>
      <c r="D104">
        <v>95</v>
      </c>
      <c r="E104" s="16" t="s">
        <v>10</v>
      </c>
      <c r="F104" s="17">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45">
      <c r="B105" t="s">
        <v>127</v>
      </c>
      <c r="C105" t="s">
        <v>16</v>
      </c>
      <c r="D105">
        <v>131</v>
      </c>
      <c r="E105" s="16" t="s">
        <v>11</v>
      </c>
      <c r="F105" s="17">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45">
      <c r="B106" t="s">
        <v>128</v>
      </c>
      <c r="C106" t="s">
        <v>22</v>
      </c>
      <c r="D106">
        <v>67</v>
      </c>
      <c r="E106" s="16" t="s">
        <v>13</v>
      </c>
      <c r="F106" s="17">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45">
      <c r="B107" t="s">
        <v>129</v>
      </c>
      <c r="C107" t="s">
        <v>21</v>
      </c>
      <c r="D107">
        <v>111</v>
      </c>
      <c r="E107" s="16" t="s">
        <v>11</v>
      </c>
      <c r="F107" s="17">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45">
      <c r="B108" t="s">
        <v>130</v>
      </c>
      <c r="C108" t="s">
        <v>23</v>
      </c>
      <c r="D108">
        <v>78</v>
      </c>
      <c r="E108" s="16" t="s">
        <v>9</v>
      </c>
      <c r="F108" s="17">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45">
      <c r="B109" t="s">
        <v>131</v>
      </c>
      <c r="C109" t="s">
        <v>24</v>
      </c>
      <c r="D109">
        <v>28</v>
      </c>
      <c r="E109" s="16" t="s">
        <v>6</v>
      </c>
      <c r="F109" s="17">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45">
      <c r="B110" t="s">
        <v>132</v>
      </c>
      <c r="C110" t="s">
        <v>12</v>
      </c>
      <c r="D110">
        <v>127</v>
      </c>
      <c r="E110" s="16" t="s">
        <v>13</v>
      </c>
      <c r="F110" s="17">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45">
      <c r="B111" t="s">
        <v>133</v>
      </c>
      <c r="C111" t="s">
        <v>19</v>
      </c>
      <c r="D111">
        <v>137</v>
      </c>
      <c r="E111" s="16" t="s">
        <v>11</v>
      </c>
      <c r="F111" s="17">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45">
      <c r="B112" t="s">
        <v>134</v>
      </c>
      <c r="C112" t="s">
        <v>12</v>
      </c>
      <c r="D112">
        <v>76</v>
      </c>
      <c r="E112" s="16" t="s">
        <v>6</v>
      </c>
      <c r="F112" s="17">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45">
      <c r="B113" t="s">
        <v>135</v>
      </c>
      <c r="C113" t="s">
        <v>23</v>
      </c>
      <c r="D113">
        <v>80</v>
      </c>
      <c r="E113" s="16" t="s">
        <v>13</v>
      </c>
      <c r="F113" s="17">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45">
      <c r="B114" t="s">
        <v>136</v>
      </c>
      <c r="C114" t="s">
        <v>12</v>
      </c>
      <c r="D114">
        <v>95</v>
      </c>
      <c r="E114" s="16" t="s">
        <v>9</v>
      </c>
      <c r="F114" s="17">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45">
      <c r="B115" t="s">
        <v>137</v>
      </c>
      <c r="C115" t="s">
        <v>7</v>
      </c>
      <c r="D115">
        <v>30</v>
      </c>
      <c r="E115" s="16" t="s">
        <v>6</v>
      </c>
      <c r="F115" s="17">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45">
      <c r="B116" t="s">
        <v>138</v>
      </c>
      <c r="C116" t="s">
        <v>8</v>
      </c>
      <c r="D116">
        <v>19</v>
      </c>
      <c r="E116" s="16" t="s">
        <v>11</v>
      </c>
      <c r="F116" s="17">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45">
      <c r="B117" t="s">
        <v>139</v>
      </c>
      <c r="C117" t="s">
        <v>18</v>
      </c>
      <c r="D117">
        <v>38</v>
      </c>
      <c r="E117" s="16" t="s">
        <v>13</v>
      </c>
      <c r="F117" s="17">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45">
      <c r="B118" t="s">
        <v>140</v>
      </c>
      <c r="C118" t="s">
        <v>14</v>
      </c>
      <c r="D118">
        <v>55</v>
      </c>
      <c r="E118" s="16" t="s">
        <v>11</v>
      </c>
      <c r="F118" s="17">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45">
      <c r="B119" t="s">
        <v>141</v>
      </c>
      <c r="C119" t="s">
        <v>22</v>
      </c>
      <c r="D119">
        <v>27</v>
      </c>
      <c r="E119" s="16" t="s">
        <v>6</v>
      </c>
      <c r="F119" s="17">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45">
      <c r="B120" t="s">
        <v>142</v>
      </c>
      <c r="C120" t="s">
        <v>22</v>
      </c>
      <c r="D120">
        <v>32</v>
      </c>
      <c r="E120" s="16" t="s">
        <v>6</v>
      </c>
      <c r="F120" s="17">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45">
      <c r="B121" t="s">
        <v>143</v>
      </c>
      <c r="C121" t="s">
        <v>24</v>
      </c>
      <c r="D121">
        <v>116</v>
      </c>
      <c r="E121" s="16" t="s">
        <v>10</v>
      </c>
      <c r="F121" s="17">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45">
      <c r="B122" t="s">
        <v>144</v>
      </c>
      <c r="C122" t="s">
        <v>20</v>
      </c>
      <c r="D122">
        <v>99</v>
      </c>
      <c r="E122" s="16" t="s">
        <v>9</v>
      </c>
      <c r="F122" s="17">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45">
      <c r="B123" t="s">
        <v>145</v>
      </c>
      <c r="C123" t="s">
        <v>12</v>
      </c>
      <c r="D123">
        <v>75</v>
      </c>
      <c r="E123" s="16" t="s">
        <v>6</v>
      </c>
      <c r="F123" s="17">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45">
      <c r="B124" t="s">
        <v>146</v>
      </c>
      <c r="C124" t="s">
        <v>23</v>
      </c>
      <c r="D124">
        <v>57</v>
      </c>
      <c r="E124" s="16" t="s">
        <v>10</v>
      </c>
      <c r="F124" s="17">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45">
      <c r="B125" t="s">
        <v>147</v>
      </c>
      <c r="C125" t="s">
        <v>15</v>
      </c>
      <c r="D125">
        <v>155</v>
      </c>
      <c r="E125" s="16" t="s">
        <v>10</v>
      </c>
      <c r="F125" s="17">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45">
      <c r="B126" t="s">
        <v>148</v>
      </c>
      <c r="C126" t="s">
        <v>20</v>
      </c>
      <c r="D126">
        <v>68</v>
      </c>
      <c r="E126" s="16" t="s">
        <v>9</v>
      </c>
      <c r="F126" s="17">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45">
      <c r="B127" t="s">
        <v>149</v>
      </c>
      <c r="C127" t="s">
        <v>18</v>
      </c>
      <c r="D127">
        <v>95</v>
      </c>
      <c r="E127" s="16" t="s">
        <v>9</v>
      </c>
      <c r="F127" s="17">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45">
      <c r="B128" t="s">
        <v>150</v>
      </c>
      <c r="C128" t="s">
        <v>19</v>
      </c>
      <c r="D128">
        <v>65</v>
      </c>
      <c r="E128" s="16" t="s">
        <v>10</v>
      </c>
      <c r="F128" s="17">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45">
      <c r="B129" t="s">
        <v>151</v>
      </c>
      <c r="C129" t="s">
        <v>8</v>
      </c>
      <c r="D129">
        <v>114</v>
      </c>
      <c r="E129" s="16" t="s">
        <v>11</v>
      </c>
      <c r="F129" s="17">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45">
      <c r="B130" t="s">
        <v>152</v>
      </c>
      <c r="C130" t="s">
        <v>12</v>
      </c>
      <c r="D130">
        <v>155</v>
      </c>
      <c r="E130" s="16" t="s">
        <v>11</v>
      </c>
      <c r="F130" s="17">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45">
      <c r="B131" t="s">
        <v>153</v>
      </c>
      <c r="C131" t="s">
        <v>19</v>
      </c>
      <c r="D131">
        <v>114</v>
      </c>
      <c r="E131" s="16" t="s">
        <v>10</v>
      </c>
      <c r="F131" s="17">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45">
      <c r="B132" t="s">
        <v>154</v>
      </c>
      <c r="C132" t="s">
        <v>15</v>
      </c>
      <c r="D132">
        <v>130</v>
      </c>
      <c r="E132" s="16" t="s">
        <v>13</v>
      </c>
      <c r="F132" s="17">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45">
      <c r="B133" t="s">
        <v>155</v>
      </c>
      <c r="C133" t="s">
        <v>12</v>
      </c>
      <c r="D133">
        <v>89</v>
      </c>
      <c r="E133" s="16" t="s">
        <v>10</v>
      </c>
      <c r="F133" s="17">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45">
      <c r="B134" t="s">
        <v>156</v>
      </c>
      <c r="C134" t="s">
        <v>17</v>
      </c>
      <c r="D134">
        <v>61</v>
      </c>
      <c r="E134" s="16" t="s">
        <v>6</v>
      </c>
      <c r="F134" s="17">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45">
      <c r="B135" t="s">
        <v>157</v>
      </c>
      <c r="C135" t="s">
        <v>18</v>
      </c>
      <c r="D135">
        <v>154</v>
      </c>
      <c r="E135" s="16" t="s">
        <v>11</v>
      </c>
      <c r="F135" s="17">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45">
      <c r="B136" t="s">
        <v>158</v>
      </c>
      <c r="C136" t="s">
        <v>19</v>
      </c>
      <c r="D136">
        <v>115</v>
      </c>
      <c r="E136" s="16" t="s">
        <v>13</v>
      </c>
      <c r="F136" s="17">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45">
      <c r="B137" t="s">
        <v>159</v>
      </c>
      <c r="C137" t="s">
        <v>5</v>
      </c>
      <c r="D137">
        <v>138</v>
      </c>
      <c r="E137" s="16" t="s">
        <v>9</v>
      </c>
      <c r="F137" s="17">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45">
      <c r="B138" t="s">
        <v>160</v>
      </c>
      <c r="C138" t="s">
        <v>21</v>
      </c>
      <c r="D138">
        <v>153</v>
      </c>
      <c r="E138" s="16" t="s">
        <v>10</v>
      </c>
      <c r="F138" s="17">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45">
      <c r="B139" t="s">
        <v>161</v>
      </c>
      <c r="C139" t="s">
        <v>19</v>
      </c>
      <c r="D139">
        <v>61</v>
      </c>
      <c r="E139" s="16" t="s">
        <v>6</v>
      </c>
      <c r="F139" s="17">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45">
      <c r="B140" t="s">
        <v>162</v>
      </c>
      <c r="C140" t="s">
        <v>22</v>
      </c>
      <c r="D140">
        <v>62</v>
      </c>
      <c r="E140" s="16" t="s">
        <v>10</v>
      </c>
      <c r="F140" s="17">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45">
      <c r="B141" t="s">
        <v>163</v>
      </c>
      <c r="C141" t="s">
        <v>17</v>
      </c>
      <c r="D141">
        <v>151</v>
      </c>
      <c r="E141" s="16" t="s">
        <v>13</v>
      </c>
      <c r="F141" s="17">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45">
      <c r="B142" t="s">
        <v>164</v>
      </c>
      <c r="C142" t="s">
        <v>16</v>
      </c>
      <c r="D142">
        <v>102</v>
      </c>
      <c r="E142" s="16" t="s">
        <v>11</v>
      </c>
      <c r="F142" s="17">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45">
      <c r="B143" t="s">
        <v>165</v>
      </c>
      <c r="C143" t="s">
        <v>7</v>
      </c>
      <c r="D143">
        <v>64</v>
      </c>
      <c r="E143" s="16" t="s">
        <v>10</v>
      </c>
      <c r="F143" s="17">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45">
      <c r="B144" t="s">
        <v>166</v>
      </c>
      <c r="C144" t="s">
        <v>12</v>
      </c>
      <c r="D144">
        <v>6</v>
      </c>
      <c r="E144" s="16" t="s">
        <v>11</v>
      </c>
      <c r="F144" s="17">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45">
      <c r="B145" t="s">
        <v>167</v>
      </c>
      <c r="C145" t="s">
        <v>7</v>
      </c>
      <c r="D145">
        <v>129</v>
      </c>
      <c r="E145" s="16" t="s">
        <v>10</v>
      </c>
      <c r="F145" s="17">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45">
      <c r="B146" t="s">
        <v>168</v>
      </c>
      <c r="C146" t="s">
        <v>22</v>
      </c>
      <c r="D146">
        <v>42</v>
      </c>
      <c r="E146" s="16" t="s">
        <v>13</v>
      </c>
      <c r="F146" s="17">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45">
      <c r="B147" t="s">
        <v>169</v>
      </c>
      <c r="C147" t="s">
        <v>22</v>
      </c>
      <c r="D147">
        <v>71</v>
      </c>
      <c r="E147" s="16" t="s">
        <v>6</v>
      </c>
      <c r="F147" s="17">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45">
      <c r="B148" t="s">
        <v>170</v>
      </c>
      <c r="C148" t="s">
        <v>23</v>
      </c>
      <c r="D148">
        <v>53</v>
      </c>
      <c r="E148" s="16" t="s">
        <v>11</v>
      </c>
      <c r="F148" s="17">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45">
      <c r="B149" t="s">
        <v>171</v>
      </c>
      <c r="C149" t="s">
        <v>8</v>
      </c>
      <c r="D149">
        <v>155</v>
      </c>
      <c r="E149" s="16" t="s">
        <v>6</v>
      </c>
      <c r="F149" s="17">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45">
      <c r="B150" t="s">
        <v>172</v>
      </c>
      <c r="C150" t="s">
        <v>8</v>
      </c>
      <c r="D150">
        <v>90</v>
      </c>
      <c r="E150" s="16" t="s">
        <v>13</v>
      </c>
      <c r="F150" s="17">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45">
      <c r="B151" t="s">
        <v>173</v>
      </c>
      <c r="C151" t="s">
        <v>7</v>
      </c>
      <c r="D151">
        <v>166</v>
      </c>
      <c r="E151" s="16" t="s">
        <v>9</v>
      </c>
      <c r="F151" s="17">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45">
      <c r="B152" t="s">
        <v>174</v>
      </c>
      <c r="C152" t="s">
        <v>24</v>
      </c>
      <c r="D152">
        <v>89</v>
      </c>
      <c r="E152" s="16" t="s">
        <v>6</v>
      </c>
      <c r="F152" s="17">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45">
      <c r="B153" t="s">
        <v>175</v>
      </c>
      <c r="C153" t="s">
        <v>19</v>
      </c>
      <c r="D153">
        <v>152</v>
      </c>
      <c r="E153" s="16" t="s">
        <v>11</v>
      </c>
      <c r="F153" s="17">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45">
      <c r="B154" t="s">
        <v>176</v>
      </c>
      <c r="C154" t="s">
        <v>24</v>
      </c>
      <c r="D154">
        <v>137</v>
      </c>
      <c r="E154" s="16" t="s">
        <v>13</v>
      </c>
      <c r="F154" s="17">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45">
      <c r="B155" t="s">
        <v>177</v>
      </c>
      <c r="C155" t="s">
        <v>24</v>
      </c>
      <c r="D155">
        <v>43</v>
      </c>
      <c r="E155" s="16" t="s">
        <v>13</v>
      </c>
      <c r="F155" s="17">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45">
      <c r="B156" t="s">
        <v>178</v>
      </c>
      <c r="C156" t="s">
        <v>18</v>
      </c>
      <c r="D156">
        <v>114</v>
      </c>
      <c r="E156" s="16" t="s">
        <v>13</v>
      </c>
      <c r="F156" s="17">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45">
      <c r="B157" t="s">
        <v>179</v>
      </c>
      <c r="C157" t="s">
        <v>21</v>
      </c>
      <c r="D157">
        <v>103</v>
      </c>
      <c r="E157" s="16" t="s">
        <v>6</v>
      </c>
      <c r="F157" s="17">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45">
      <c r="B158" t="s">
        <v>180</v>
      </c>
      <c r="C158" t="s">
        <v>24</v>
      </c>
      <c r="D158">
        <v>98</v>
      </c>
      <c r="E158" s="16" t="s">
        <v>11</v>
      </c>
      <c r="F158" s="17">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45">
      <c r="B159" t="s">
        <v>181</v>
      </c>
      <c r="C159" t="s">
        <v>7</v>
      </c>
      <c r="D159">
        <v>106</v>
      </c>
      <c r="E159" s="16" t="s">
        <v>9</v>
      </c>
      <c r="F159" s="17">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45">
      <c r="B160" t="s">
        <v>182</v>
      </c>
      <c r="C160" t="s">
        <v>12</v>
      </c>
      <c r="D160">
        <v>96</v>
      </c>
      <c r="E160" s="16" t="s">
        <v>9</v>
      </c>
      <c r="F160" s="17">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45">
      <c r="B161" t="s">
        <v>183</v>
      </c>
      <c r="C161" t="s">
        <v>21</v>
      </c>
      <c r="D161">
        <v>70</v>
      </c>
      <c r="E161" s="16" t="s">
        <v>9</v>
      </c>
      <c r="F161" s="17">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45">
      <c r="B162" t="s">
        <v>184</v>
      </c>
      <c r="C162" t="s">
        <v>22</v>
      </c>
      <c r="D162">
        <v>86</v>
      </c>
      <c r="E162" s="16" t="s">
        <v>10</v>
      </c>
      <c r="F162" s="17">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45">
      <c r="B163" t="s">
        <v>185</v>
      </c>
      <c r="C163" t="s">
        <v>23</v>
      </c>
      <c r="D163">
        <v>64</v>
      </c>
      <c r="E163" s="16" t="s">
        <v>10</v>
      </c>
      <c r="F163" s="17">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45">
      <c r="B164" t="s">
        <v>186</v>
      </c>
      <c r="C164" t="s">
        <v>12</v>
      </c>
      <c r="D164">
        <v>113</v>
      </c>
      <c r="E164" s="16" t="s">
        <v>11</v>
      </c>
      <c r="F164" s="17">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45">
      <c r="B165" t="s">
        <v>187</v>
      </c>
      <c r="C165" t="s">
        <v>12</v>
      </c>
      <c r="D165">
        <v>21</v>
      </c>
      <c r="E165" s="16" t="s">
        <v>9</v>
      </c>
      <c r="F165" s="17">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45">
      <c r="B166" t="s">
        <v>188</v>
      </c>
      <c r="C166" t="s">
        <v>16</v>
      </c>
      <c r="D166">
        <v>107</v>
      </c>
      <c r="E166" s="16" t="s">
        <v>10</v>
      </c>
      <c r="F166" s="17">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45">
      <c r="B167" t="s">
        <v>189</v>
      </c>
      <c r="C167" t="s">
        <v>16</v>
      </c>
      <c r="D167">
        <v>131</v>
      </c>
      <c r="E167" s="16" t="s">
        <v>9</v>
      </c>
      <c r="F167" s="17">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45">
      <c r="B168" t="s">
        <v>190</v>
      </c>
      <c r="C168" t="s">
        <v>20</v>
      </c>
      <c r="D168">
        <v>11</v>
      </c>
      <c r="E168" s="16" t="s">
        <v>6</v>
      </c>
      <c r="F168" s="17">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45">
      <c r="B169" t="s">
        <v>191</v>
      </c>
      <c r="C169" t="s">
        <v>17</v>
      </c>
      <c r="D169">
        <v>86</v>
      </c>
      <c r="E169" s="16" t="s">
        <v>11</v>
      </c>
      <c r="F169" s="17">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45">
      <c r="B170" t="s">
        <v>192</v>
      </c>
      <c r="C170" t="s">
        <v>23</v>
      </c>
      <c r="D170">
        <v>28</v>
      </c>
      <c r="E170" s="16" t="s">
        <v>6</v>
      </c>
      <c r="F170" s="17">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45">
      <c r="B171" t="s">
        <v>193</v>
      </c>
      <c r="C171" t="s">
        <v>8</v>
      </c>
      <c r="D171">
        <v>139</v>
      </c>
      <c r="E171" s="16" t="s">
        <v>9</v>
      </c>
      <c r="F171" s="17">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45">
      <c r="B172" t="s">
        <v>194</v>
      </c>
      <c r="C172" t="s">
        <v>7</v>
      </c>
      <c r="D172">
        <v>82</v>
      </c>
      <c r="E172" s="16" t="s">
        <v>11</v>
      </c>
      <c r="F172" s="17">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45">
      <c r="B173" t="s">
        <v>195</v>
      </c>
      <c r="C173" t="s">
        <v>12</v>
      </c>
      <c r="D173">
        <v>101</v>
      </c>
      <c r="E173" s="16" t="s">
        <v>6</v>
      </c>
      <c r="F173" s="17">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45">
      <c r="B174" t="s">
        <v>196</v>
      </c>
      <c r="C174" t="s">
        <v>23</v>
      </c>
      <c r="D174">
        <v>75</v>
      </c>
      <c r="E174" s="16" t="s">
        <v>13</v>
      </c>
      <c r="F174" s="17">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45">
      <c r="B175" t="s">
        <v>197</v>
      </c>
      <c r="C175" t="s">
        <v>18</v>
      </c>
      <c r="D175">
        <v>40</v>
      </c>
      <c r="E175" s="16" t="s">
        <v>6</v>
      </c>
      <c r="F175" s="17">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45">
      <c r="B176" t="s">
        <v>198</v>
      </c>
      <c r="C176" t="s">
        <v>24</v>
      </c>
      <c r="D176">
        <v>86</v>
      </c>
      <c r="E176" s="16" t="s">
        <v>9</v>
      </c>
      <c r="F176" s="17">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45">
      <c r="B177" t="s">
        <v>199</v>
      </c>
      <c r="C177" t="s">
        <v>15</v>
      </c>
      <c r="D177">
        <v>131</v>
      </c>
      <c r="E177" s="16" t="s">
        <v>10</v>
      </c>
      <c r="F177" s="17">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45">
      <c r="B178" t="s">
        <v>200</v>
      </c>
      <c r="C178" t="s">
        <v>16</v>
      </c>
      <c r="D178">
        <v>67</v>
      </c>
      <c r="E178" s="16" t="s">
        <v>11</v>
      </c>
      <c r="F178" s="17">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45">
      <c r="B179" t="s">
        <v>201</v>
      </c>
      <c r="C179" t="s">
        <v>5</v>
      </c>
      <c r="D179">
        <v>71</v>
      </c>
      <c r="E179" s="16" t="s">
        <v>6</v>
      </c>
      <c r="F179" s="17">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45">
      <c r="B180" t="s">
        <v>202</v>
      </c>
      <c r="C180" t="s">
        <v>15</v>
      </c>
      <c r="D180">
        <v>113</v>
      </c>
      <c r="E180" s="16" t="s">
        <v>10</v>
      </c>
      <c r="F180" s="17">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45">
      <c r="B181" t="s">
        <v>203</v>
      </c>
      <c r="C181" t="s">
        <v>7</v>
      </c>
      <c r="D181">
        <v>53</v>
      </c>
      <c r="E181" s="16" t="s">
        <v>9</v>
      </c>
      <c r="F181" s="17">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45">
      <c r="B182" t="s">
        <v>204</v>
      </c>
      <c r="C182" t="s">
        <v>15</v>
      </c>
      <c r="D182">
        <v>153</v>
      </c>
      <c r="E182" s="16" t="s">
        <v>11</v>
      </c>
      <c r="F182" s="17">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45">
      <c r="B183" t="s">
        <v>205</v>
      </c>
      <c r="C183" t="s">
        <v>16</v>
      </c>
      <c r="D183">
        <v>73</v>
      </c>
      <c r="E183" s="16" t="s">
        <v>13</v>
      </c>
      <c r="F183" s="17">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45">
      <c r="B184" t="s">
        <v>206</v>
      </c>
      <c r="C184" t="s">
        <v>22</v>
      </c>
      <c r="D184">
        <v>62</v>
      </c>
      <c r="E184" s="16" t="s">
        <v>13</v>
      </c>
      <c r="F184" s="17">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45">
      <c r="B185" t="s">
        <v>207</v>
      </c>
      <c r="C185" t="s">
        <v>8</v>
      </c>
      <c r="D185">
        <v>115</v>
      </c>
      <c r="E185" s="16" t="s">
        <v>9</v>
      </c>
      <c r="F185" s="17">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45">
      <c r="B186" t="s">
        <v>208</v>
      </c>
      <c r="C186" t="s">
        <v>15</v>
      </c>
      <c r="D186">
        <v>69</v>
      </c>
      <c r="E186" s="16" t="s">
        <v>9</v>
      </c>
      <c r="F186" s="17">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45">
      <c r="B187" t="s">
        <v>209</v>
      </c>
      <c r="C187" t="s">
        <v>24</v>
      </c>
      <c r="D187">
        <v>103</v>
      </c>
      <c r="E187" s="16" t="s">
        <v>10</v>
      </c>
      <c r="F187" s="17">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45">
      <c r="B188" t="s">
        <v>210</v>
      </c>
      <c r="C188" t="s">
        <v>24</v>
      </c>
      <c r="D188">
        <v>75</v>
      </c>
      <c r="E188" s="16" t="s">
        <v>10</v>
      </c>
      <c r="F188" s="17">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45">
      <c r="B189" t="s">
        <v>211</v>
      </c>
      <c r="C189" t="s">
        <v>14</v>
      </c>
      <c r="D189">
        <v>92</v>
      </c>
      <c r="E189" s="16" t="s">
        <v>10</v>
      </c>
      <c r="F189" s="17">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45">
      <c r="B190" t="s">
        <v>212</v>
      </c>
      <c r="C190" t="s">
        <v>14</v>
      </c>
      <c r="D190">
        <v>41</v>
      </c>
      <c r="E190" s="16" t="s">
        <v>13</v>
      </c>
      <c r="F190" s="17">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45">
      <c r="B191" t="s">
        <v>213</v>
      </c>
      <c r="C191" t="s">
        <v>24</v>
      </c>
      <c r="D191">
        <v>134</v>
      </c>
      <c r="E191" s="16" t="s">
        <v>11</v>
      </c>
      <c r="F191" s="17">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45">
      <c r="B192" t="s">
        <v>214</v>
      </c>
      <c r="C192" t="s">
        <v>17</v>
      </c>
      <c r="D192">
        <v>80</v>
      </c>
      <c r="E192" s="16" t="s">
        <v>6</v>
      </c>
      <c r="F192" s="17">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45">
      <c r="B193" t="s">
        <v>215</v>
      </c>
      <c r="C193" t="s">
        <v>5</v>
      </c>
      <c r="D193">
        <v>103</v>
      </c>
      <c r="E193" s="16" t="s">
        <v>9</v>
      </c>
      <c r="F193" s="17">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45">
      <c r="B194" t="s">
        <v>216</v>
      </c>
      <c r="C194" t="s">
        <v>7</v>
      </c>
      <c r="D194">
        <v>20</v>
      </c>
      <c r="E194" s="16" t="s">
        <v>10</v>
      </c>
      <c r="F194" s="17">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45">
      <c r="B195" t="s">
        <v>217</v>
      </c>
      <c r="C195" t="s">
        <v>5</v>
      </c>
      <c r="D195">
        <v>75</v>
      </c>
      <c r="E195" s="16" t="s">
        <v>6</v>
      </c>
      <c r="F195" s="17">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45">
      <c r="B196" t="s">
        <v>218</v>
      </c>
      <c r="C196" t="s">
        <v>14</v>
      </c>
      <c r="D196">
        <v>80</v>
      </c>
      <c r="E196" s="16" t="s">
        <v>11</v>
      </c>
      <c r="F196" s="17">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45">
      <c r="B197" t="s">
        <v>219</v>
      </c>
      <c r="C197" t="s">
        <v>15</v>
      </c>
      <c r="D197">
        <v>85</v>
      </c>
      <c r="E197" s="16" t="s">
        <v>13</v>
      </c>
      <c r="F197" s="17">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45">
      <c r="B198" t="s">
        <v>220</v>
      </c>
      <c r="C198" t="s">
        <v>12</v>
      </c>
      <c r="D198">
        <v>155</v>
      </c>
      <c r="E198" s="16" t="s">
        <v>10</v>
      </c>
      <c r="F198" s="17">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45">
      <c r="B199" t="s">
        <v>221</v>
      </c>
      <c r="C199" t="s">
        <v>15</v>
      </c>
      <c r="D199">
        <v>63</v>
      </c>
      <c r="E199" s="16" t="s">
        <v>13</v>
      </c>
      <c r="F199" s="17">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45">
      <c r="B200" t="s">
        <v>222</v>
      </c>
      <c r="C200" t="s">
        <v>23</v>
      </c>
      <c r="D200">
        <v>105</v>
      </c>
      <c r="E200" s="16" t="s">
        <v>9</v>
      </c>
      <c r="F200" s="17">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45">
      <c r="B201" t="s">
        <v>223</v>
      </c>
      <c r="C201" t="s">
        <v>15</v>
      </c>
      <c r="D201">
        <v>71</v>
      </c>
      <c r="E201" s="16" t="s">
        <v>13</v>
      </c>
      <c r="F201" s="17">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45">
      <c r="B202" t="s">
        <v>224</v>
      </c>
      <c r="C202" t="s">
        <v>12</v>
      </c>
      <c r="D202">
        <v>100</v>
      </c>
      <c r="E202" s="16" t="s">
        <v>13</v>
      </c>
      <c r="F202" s="17">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45">
      <c r="B203" t="s">
        <v>225</v>
      </c>
      <c r="C203" t="s">
        <v>20</v>
      </c>
      <c r="D203">
        <v>93</v>
      </c>
      <c r="E203" s="16" t="s">
        <v>11</v>
      </c>
      <c r="F203" s="17">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45">
      <c r="B204" t="s">
        <v>226</v>
      </c>
      <c r="C204" t="s">
        <v>23</v>
      </c>
      <c r="D204">
        <v>84</v>
      </c>
      <c r="E204" s="16" t="s">
        <v>10</v>
      </c>
      <c r="F204" s="17">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45">
      <c r="B205" t="s">
        <v>227</v>
      </c>
      <c r="C205" t="s">
        <v>17</v>
      </c>
      <c r="D205">
        <v>56</v>
      </c>
      <c r="E205" s="16" t="s">
        <v>6</v>
      </c>
      <c r="F205" s="17">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45">
      <c r="B206" t="s">
        <v>228</v>
      </c>
      <c r="C206" t="s">
        <v>17</v>
      </c>
      <c r="D206">
        <v>63</v>
      </c>
      <c r="E206" s="16" t="s">
        <v>13</v>
      </c>
      <c r="F206" s="17">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45">
      <c r="B207" t="s">
        <v>229</v>
      </c>
      <c r="C207" t="s">
        <v>22</v>
      </c>
      <c r="D207">
        <v>83</v>
      </c>
      <c r="E207" s="16" t="s">
        <v>13</v>
      </c>
      <c r="F207" s="17">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45">
      <c r="B208" t="s">
        <v>230</v>
      </c>
      <c r="C208" t="s">
        <v>14</v>
      </c>
      <c r="D208">
        <v>134</v>
      </c>
      <c r="E208" s="16" t="s">
        <v>10</v>
      </c>
      <c r="F208" s="17">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45">
      <c r="B209" t="s">
        <v>231</v>
      </c>
      <c r="C209" t="s">
        <v>8</v>
      </c>
      <c r="D209">
        <v>73</v>
      </c>
      <c r="E209" s="16" t="s">
        <v>13</v>
      </c>
      <c r="F209" s="17">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45">
      <c r="B210" t="s">
        <v>232</v>
      </c>
      <c r="C210" t="s">
        <v>5</v>
      </c>
      <c r="D210">
        <v>6</v>
      </c>
      <c r="E210" s="16" t="s">
        <v>6</v>
      </c>
      <c r="F210" s="17">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45">
      <c r="B211" t="s">
        <v>233</v>
      </c>
      <c r="C211" t="s">
        <v>16</v>
      </c>
      <c r="D211">
        <v>46</v>
      </c>
      <c r="E211" s="16" t="s">
        <v>9</v>
      </c>
      <c r="F211" s="17">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45">
      <c r="B212" t="s">
        <v>234</v>
      </c>
      <c r="C212" t="s">
        <v>5</v>
      </c>
      <c r="D212">
        <v>121</v>
      </c>
      <c r="E212" s="16" t="s">
        <v>13</v>
      </c>
      <c r="F212" s="17">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45">
      <c r="B213" t="s">
        <v>235</v>
      </c>
      <c r="C213" t="s">
        <v>17</v>
      </c>
      <c r="D213">
        <v>61</v>
      </c>
      <c r="E213" s="16" t="s">
        <v>11</v>
      </c>
      <c r="F213" s="17">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45">
      <c r="B214" t="s">
        <v>236</v>
      </c>
      <c r="C214" t="s">
        <v>14</v>
      </c>
      <c r="D214">
        <v>144</v>
      </c>
      <c r="E214" s="16" t="s">
        <v>10</v>
      </c>
      <c r="F214" s="17">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45">
      <c r="B215" t="s">
        <v>237</v>
      </c>
      <c r="C215" t="s">
        <v>16</v>
      </c>
      <c r="D215">
        <v>145</v>
      </c>
      <c r="E215" s="16" t="s">
        <v>10</v>
      </c>
      <c r="F215" s="17">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45">
      <c r="B216" t="s">
        <v>238</v>
      </c>
      <c r="C216" t="s">
        <v>23</v>
      </c>
      <c r="D216">
        <v>85</v>
      </c>
      <c r="E216" s="16" t="s">
        <v>6</v>
      </c>
      <c r="F216" s="17">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45">
      <c r="B217" t="s">
        <v>239</v>
      </c>
      <c r="C217" t="s">
        <v>16</v>
      </c>
      <c r="D217">
        <v>13</v>
      </c>
      <c r="E217" s="16" t="s">
        <v>11</v>
      </c>
      <c r="F217" s="17">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45">
      <c r="B218" t="s">
        <v>240</v>
      </c>
      <c r="C218" t="s">
        <v>20</v>
      </c>
      <c r="D218">
        <v>142</v>
      </c>
      <c r="E218" s="16" t="s">
        <v>13</v>
      </c>
      <c r="F218" s="17">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45">
      <c r="B219" t="s">
        <v>241</v>
      </c>
      <c r="C219" t="s">
        <v>14</v>
      </c>
      <c r="D219">
        <v>28</v>
      </c>
      <c r="E219" s="16" t="s">
        <v>9</v>
      </c>
      <c r="F219" s="17">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45">
      <c r="B220" t="s">
        <v>242</v>
      </c>
      <c r="C220" t="s">
        <v>14</v>
      </c>
      <c r="D220">
        <v>119</v>
      </c>
      <c r="E220" s="16" t="s">
        <v>13</v>
      </c>
      <c r="F220" s="17">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45">
      <c r="B221" t="s">
        <v>243</v>
      </c>
      <c r="C221" t="s">
        <v>5</v>
      </c>
      <c r="D221">
        <v>65</v>
      </c>
      <c r="E221" s="16" t="s">
        <v>6</v>
      </c>
      <c r="F221" s="17">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45">
      <c r="B222" t="s">
        <v>244</v>
      </c>
      <c r="C222" t="s">
        <v>24</v>
      </c>
      <c r="D222">
        <v>68</v>
      </c>
      <c r="E222" s="16" t="s">
        <v>6</v>
      </c>
      <c r="F222" s="17">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45">
      <c r="B223" t="s">
        <v>245</v>
      </c>
      <c r="C223" t="s">
        <v>22</v>
      </c>
      <c r="D223">
        <v>72</v>
      </c>
      <c r="E223" s="16" t="s">
        <v>9</v>
      </c>
      <c r="F223" s="17">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45">
      <c r="B224" t="s">
        <v>246</v>
      </c>
      <c r="C224" t="s">
        <v>22</v>
      </c>
      <c r="D224">
        <v>63</v>
      </c>
      <c r="E224" s="16" t="s">
        <v>10</v>
      </c>
      <c r="F224" s="17">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45">
      <c r="B225" t="s">
        <v>247</v>
      </c>
      <c r="C225" t="s">
        <v>12</v>
      </c>
      <c r="D225">
        <v>139</v>
      </c>
      <c r="E225" s="16" t="s">
        <v>13</v>
      </c>
      <c r="F225" s="17">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45">
      <c r="B226" t="s">
        <v>248</v>
      </c>
      <c r="C226" t="s">
        <v>14</v>
      </c>
      <c r="D226">
        <v>59</v>
      </c>
      <c r="E226" s="16" t="s">
        <v>13</v>
      </c>
      <c r="F226" s="17">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45">
      <c r="B227" t="s">
        <v>249</v>
      </c>
      <c r="C227" t="s">
        <v>7</v>
      </c>
      <c r="D227">
        <v>138</v>
      </c>
      <c r="E227" s="16" t="s">
        <v>10</v>
      </c>
      <c r="F227" s="17">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45">
      <c r="B228" t="s">
        <v>250</v>
      </c>
      <c r="C228" t="s">
        <v>12</v>
      </c>
      <c r="D228">
        <v>47</v>
      </c>
      <c r="E228" s="16" t="s">
        <v>9</v>
      </c>
      <c r="F228" s="17">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45">
      <c r="B229" t="s">
        <v>251</v>
      </c>
      <c r="C229" t="s">
        <v>7</v>
      </c>
      <c r="D229">
        <v>74</v>
      </c>
      <c r="E229" s="16" t="s">
        <v>9</v>
      </c>
      <c r="F229" s="17">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45">
      <c r="B230" t="s">
        <v>252</v>
      </c>
      <c r="C230" t="s">
        <v>22</v>
      </c>
      <c r="D230">
        <v>65</v>
      </c>
      <c r="E230" s="16" t="s">
        <v>9</v>
      </c>
      <c r="F230" s="17">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45">
      <c r="B231" t="s">
        <v>253</v>
      </c>
      <c r="C231" t="s">
        <v>8</v>
      </c>
      <c r="D231">
        <v>123</v>
      </c>
      <c r="E231" s="16" t="s">
        <v>6</v>
      </c>
      <c r="F231" s="17">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45">
      <c r="B232" t="s">
        <v>254</v>
      </c>
      <c r="C232" t="s">
        <v>22</v>
      </c>
      <c r="D232">
        <v>90</v>
      </c>
      <c r="E232" s="16" t="s">
        <v>13</v>
      </c>
      <c r="F232" s="17">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45">
      <c r="B233" t="s">
        <v>255</v>
      </c>
      <c r="C233" t="s">
        <v>17</v>
      </c>
      <c r="D233">
        <v>127</v>
      </c>
      <c r="E233" s="16" t="s">
        <v>10</v>
      </c>
      <c r="F233" s="17">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45">
      <c r="B234" t="s">
        <v>256</v>
      </c>
      <c r="C234" t="s">
        <v>21</v>
      </c>
      <c r="D234">
        <v>60</v>
      </c>
      <c r="E234" s="16" t="s">
        <v>9</v>
      </c>
      <c r="F234" s="17">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45">
      <c r="B235" t="s">
        <v>257</v>
      </c>
      <c r="C235" t="s">
        <v>12</v>
      </c>
      <c r="D235">
        <v>94</v>
      </c>
      <c r="E235" s="16" t="s">
        <v>10</v>
      </c>
      <c r="F235" s="17">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45">
      <c r="B236" t="s">
        <v>258</v>
      </c>
      <c r="C236" t="s">
        <v>8</v>
      </c>
      <c r="D236">
        <v>54</v>
      </c>
      <c r="E236" s="16" t="s">
        <v>9</v>
      </c>
      <c r="F236" s="17">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45">
      <c r="B237" t="s">
        <v>259</v>
      </c>
      <c r="C237" t="s">
        <v>22</v>
      </c>
      <c r="D237">
        <v>104</v>
      </c>
      <c r="E237" s="16" t="s">
        <v>9</v>
      </c>
      <c r="F237" s="17">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45">
      <c r="B238" t="s">
        <v>260</v>
      </c>
      <c r="C238" t="s">
        <v>15</v>
      </c>
      <c r="D238">
        <v>100</v>
      </c>
      <c r="E238" s="16" t="s">
        <v>9</v>
      </c>
      <c r="F238" s="17">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45">
      <c r="B239" t="s">
        <v>261</v>
      </c>
      <c r="C239" t="s">
        <v>7</v>
      </c>
      <c r="D239">
        <v>84</v>
      </c>
      <c r="E239" s="16" t="s">
        <v>9</v>
      </c>
      <c r="F239" s="17">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45">
      <c r="B240" t="s">
        <v>262</v>
      </c>
      <c r="C240" t="s">
        <v>20</v>
      </c>
      <c r="D240">
        <v>92</v>
      </c>
      <c r="E240" s="16" t="s">
        <v>11</v>
      </c>
      <c r="F240" s="17">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45">
      <c r="B241" t="s">
        <v>263</v>
      </c>
      <c r="C241" t="s">
        <v>18</v>
      </c>
      <c r="D241">
        <v>64</v>
      </c>
      <c r="E241" s="16" t="s">
        <v>10</v>
      </c>
      <c r="F241" s="17">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45">
      <c r="B242" t="s">
        <v>264</v>
      </c>
      <c r="C242" t="s">
        <v>23</v>
      </c>
      <c r="D242">
        <v>89</v>
      </c>
      <c r="E242" s="16" t="s">
        <v>13</v>
      </c>
      <c r="F242" s="17">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45">
      <c r="B243" t="s">
        <v>265</v>
      </c>
      <c r="C243" t="s">
        <v>19</v>
      </c>
      <c r="D243">
        <v>40</v>
      </c>
      <c r="E243" s="16" t="s">
        <v>9</v>
      </c>
      <c r="F243" s="17">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45">
      <c r="B244" t="s">
        <v>266</v>
      </c>
      <c r="C244" t="s">
        <v>14</v>
      </c>
      <c r="D244">
        <v>75</v>
      </c>
      <c r="E244" s="16" t="s">
        <v>6</v>
      </c>
      <c r="F244" s="17">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45">
      <c r="B245" t="s">
        <v>267</v>
      </c>
      <c r="C245" t="s">
        <v>17</v>
      </c>
      <c r="D245">
        <v>106</v>
      </c>
      <c r="E245" s="16" t="s">
        <v>11</v>
      </c>
      <c r="F245" s="17">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45">
      <c r="B246" t="s">
        <v>268</v>
      </c>
      <c r="C246" t="s">
        <v>18</v>
      </c>
      <c r="D246">
        <v>58</v>
      </c>
      <c r="E246" s="16" t="s">
        <v>9</v>
      </c>
      <c r="F246" s="17">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45">
      <c r="B247" t="s">
        <v>269</v>
      </c>
      <c r="C247" t="s">
        <v>7</v>
      </c>
      <c r="D247">
        <v>84</v>
      </c>
      <c r="E247" s="16" t="s">
        <v>11</v>
      </c>
      <c r="F247" s="17">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45">
      <c r="B248" t="s">
        <v>270</v>
      </c>
      <c r="C248" t="s">
        <v>22</v>
      </c>
      <c r="D248">
        <v>140</v>
      </c>
      <c r="E248" s="16" t="s">
        <v>11</v>
      </c>
      <c r="F248" s="17">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45">
      <c r="B249" t="s">
        <v>271</v>
      </c>
      <c r="C249" t="s">
        <v>18</v>
      </c>
      <c r="D249">
        <v>67</v>
      </c>
      <c r="E249" s="16" t="s">
        <v>11</v>
      </c>
      <c r="F249" s="17">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45">
      <c r="B250" t="s">
        <v>272</v>
      </c>
      <c r="C250" t="s">
        <v>12</v>
      </c>
      <c r="D250">
        <v>126</v>
      </c>
      <c r="E250" s="16" t="s">
        <v>11</v>
      </c>
      <c r="F250" s="17">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45">
      <c r="B251" t="s">
        <v>273</v>
      </c>
      <c r="C251" t="s">
        <v>12</v>
      </c>
      <c r="D251">
        <v>89</v>
      </c>
      <c r="E251" s="16" t="s">
        <v>9</v>
      </c>
      <c r="F251" s="17">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45">
      <c r="B252" t="s">
        <v>274</v>
      </c>
      <c r="C252" t="s">
        <v>23</v>
      </c>
      <c r="D252">
        <v>56</v>
      </c>
      <c r="E252" s="16" t="s">
        <v>10</v>
      </c>
      <c r="F252" s="17">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45">
      <c r="B253" t="s">
        <v>275</v>
      </c>
      <c r="C253" t="s">
        <v>8</v>
      </c>
      <c r="D253">
        <v>48</v>
      </c>
      <c r="E253" s="16" t="s">
        <v>9</v>
      </c>
      <c r="F253" s="17">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45">
      <c r="B254" t="s">
        <v>276</v>
      </c>
      <c r="C254" t="s">
        <v>12</v>
      </c>
      <c r="D254">
        <v>55</v>
      </c>
      <c r="E254" s="16" t="s">
        <v>10</v>
      </c>
      <c r="F254" s="17">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45">
      <c r="B255" t="s">
        <v>277</v>
      </c>
      <c r="C255" t="s">
        <v>21</v>
      </c>
      <c r="D255">
        <v>88</v>
      </c>
      <c r="E255" s="16" t="s">
        <v>6</v>
      </c>
      <c r="F255" s="17">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45">
      <c r="B256" t="s">
        <v>278</v>
      </c>
      <c r="C256" t="s">
        <v>23</v>
      </c>
      <c r="D256">
        <v>102</v>
      </c>
      <c r="E256" s="16" t="s">
        <v>11</v>
      </c>
      <c r="F256" s="17">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45">
      <c r="B257" t="s">
        <v>279</v>
      </c>
      <c r="C257" t="s">
        <v>21</v>
      </c>
      <c r="D257">
        <v>155</v>
      </c>
      <c r="E257" s="16" t="s">
        <v>6</v>
      </c>
      <c r="F257" s="17">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45">
      <c r="B258" t="s">
        <v>280</v>
      </c>
      <c r="C258" t="s">
        <v>12</v>
      </c>
      <c r="D258">
        <v>63</v>
      </c>
      <c r="E258" s="16" t="s">
        <v>6</v>
      </c>
      <c r="F258" s="17">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45">
      <c r="B259" t="s">
        <v>281</v>
      </c>
      <c r="C259" t="s">
        <v>15</v>
      </c>
      <c r="D259">
        <v>59</v>
      </c>
      <c r="E259" s="16" t="s">
        <v>11</v>
      </c>
      <c r="F259" s="17">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45">
      <c r="B260" t="s">
        <v>282</v>
      </c>
      <c r="C260" t="s">
        <v>15</v>
      </c>
      <c r="D260">
        <v>144</v>
      </c>
      <c r="E260" s="16" t="s">
        <v>9</v>
      </c>
      <c r="F260" s="17">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45">
      <c r="B261" t="s">
        <v>283</v>
      </c>
      <c r="C261" t="s">
        <v>7</v>
      </c>
      <c r="D261">
        <v>113</v>
      </c>
      <c r="E261" s="16" t="s">
        <v>13</v>
      </c>
      <c r="F261" s="17">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45">
      <c r="B262" t="s">
        <v>284</v>
      </c>
      <c r="C262" t="s">
        <v>16</v>
      </c>
      <c r="D262">
        <v>154</v>
      </c>
      <c r="E262" s="16" t="s">
        <v>10</v>
      </c>
      <c r="F262" s="17">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45">
      <c r="B263" t="s">
        <v>285</v>
      </c>
      <c r="C263" t="s">
        <v>16</v>
      </c>
      <c r="D263">
        <v>58</v>
      </c>
      <c r="E263" s="16" t="s">
        <v>11</v>
      </c>
      <c r="F263" s="17">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45">
      <c r="B264" t="s">
        <v>286</v>
      </c>
      <c r="C264" t="s">
        <v>8</v>
      </c>
      <c r="D264">
        <v>63</v>
      </c>
      <c r="E264" s="16" t="s">
        <v>6</v>
      </c>
      <c r="F264" s="17">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45">
      <c r="B265" t="s">
        <v>287</v>
      </c>
      <c r="C265" t="s">
        <v>22</v>
      </c>
      <c r="D265">
        <v>59</v>
      </c>
      <c r="E265" s="16" t="s">
        <v>9</v>
      </c>
      <c r="F265" s="17">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45">
      <c r="B266" t="s">
        <v>288</v>
      </c>
      <c r="C266" t="s">
        <v>5</v>
      </c>
      <c r="D266">
        <v>129</v>
      </c>
      <c r="E266" s="16" t="s">
        <v>6</v>
      </c>
      <c r="F266" s="17">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45">
      <c r="B267" t="s">
        <v>289</v>
      </c>
      <c r="C267" t="s">
        <v>24</v>
      </c>
      <c r="D267">
        <v>101</v>
      </c>
      <c r="E267" s="16" t="s">
        <v>13</v>
      </c>
      <c r="F267" s="17">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45">
      <c r="B268" t="s">
        <v>290</v>
      </c>
      <c r="C268" t="s">
        <v>19</v>
      </c>
      <c r="D268">
        <v>154</v>
      </c>
      <c r="E268" s="16" t="s">
        <v>9</v>
      </c>
      <c r="F268" s="17">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45">
      <c r="B269" t="s">
        <v>291</v>
      </c>
      <c r="C269" t="s">
        <v>18</v>
      </c>
      <c r="D269">
        <v>131</v>
      </c>
      <c r="E269" s="16" t="s">
        <v>9</v>
      </c>
      <c r="F269" s="17">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45">
      <c r="B270" t="s">
        <v>292</v>
      </c>
      <c r="C270" t="s">
        <v>15</v>
      </c>
      <c r="D270">
        <v>111</v>
      </c>
      <c r="E270" s="16" t="s">
        <v>13</v>
      </c>
      <c r="F270" s="17">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45">
      <c r="B271" t="s">
        <v>293</v>
      </c>
      <c r="C271" t="s">
        <v>16</v>
      </c>
      <c r="D271">
        <v>142</v>
      </c>
      <c r="E271" s="16" t="s">
        <v>13</v>
      </c>
      <c r="F271" s="17">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45">
      <c r="B272" t="s">
        <v>294</v>
      </c>
      <c r="C272" t="s">
        <v>23</v>
      </c>
      <c r="D272">
        <v>93</v>
      </c>
      <c r="E272" s="16" t="s">
        <v>6</v>
      </c>
      <c r="F272" s="17">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45">
      <c r="B273" t="s">
        <v>295</v>
      </c>
      <c r="C273" t="s">
        <v>16</v>
      </c>
      <c r="D273">
        <v>125</v>
      </c>
      <c r="E273" s="16" t="s">
        <v>10</v>
      </c>
      <c r="F273" s="17">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45">
      <c r="B274" t="s">
        <v>296</v>
      </c>
      <c r="C274" t="s">
        <v>5</v>
      </c>
      <c r="D274">
        <v>76</v>
      </c>
      <c r="E274" s="16" t="s">
        <v>9</v>
      </c>
      <c r="F274" s="17">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45">
      <c r="B275" t="s">
        <v>297</v>
      </c>
      <c r="C275" t="s">
        <v>7</v>
      </c>
      <c r="D275">
        <v>69</v>
      </c>
      <c r="E275" s="16" t="s">
        <v>6</v>
      </c>
      <c r="F275" s="17">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45">
      <c r="B276" t="s">
        <v>298</v>
      </c>
      <c r="C276" t="s">
        <v>22</v>
      </c>
      <c r="D276">
        <v>149</v>
      </c>
      <c r="E276" s="16" t="s">
        <v>10</v>
      </c>
      <c r="F276" s="17">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45">
      <c r="B277" t="s">
        <v>299</v>
      </c>
      <c r="C277" t="s">
        <v>16</v>
      </c>
      <c r="D277">
        <v>57</v>
      </c>
      <c r="E277" s="16" t="s">
        <v>6</v>
      </c>
      <c r="F277" s="17">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45">
      <c r="B278" t="s">
        <v>300</v>
      </c>
      <c r="C278" t="s">
        <v>12</v>
      </c>
      <c r="D278">
        <v>113</v>
      </c>
      <c r="E278" s="16" t="s">
        <v>9</v>
      </c>
      <c r="F278" s="17">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45">
      <c r="B279" t="s">
        <v>301</v>
      </c>
      <c r="C279" t="s">
        <v>20</v>
      </c>
      <c r="D279">
        <v>160</v>
      </c>
      <c r="E279" s="16" t="s">
        <v>10</v>
      </c>
      <c r="F279" s="17">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45">
      <c r="B280" t="s">
        <v>302</v>
      </c>
      <c r="C280" t="s">
        <v>8</v>
      </c>
      <c r="D280">
        <v>158</v>
      </c>
      <c r="E280" s="16" t="s">
        <v>11</v>
      </c>
      <c r="F280" s="17">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45">
      <c r="B281" t="s">
        <v>303</v>
      </c>
      <c r="C281" t="s">
        <v>7</v>
      </c>
      <c r="D281">
        <v>77</v>
      </c>
      <c r="E281" s="16" t="s">
        <v>10</v>
      </c>
      <c r="F281" s="17">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45">
      <c r="B282" t="s">
        <v>304</v>
      </c>
      <c r="C282" t="s">
        <v>14</v>
      </c>
      <c r="D282">
        <v>118</v>
      </c>
      <c r="E282" s="16" t="s">
        <v>13</v>
      </c>
      <c r="F282" s="17">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45">
      <c r="B283" t="s">
        <v>305</v>
      </c>
      <c r="C283" t="s">
        <v>19</v>
      </c>
      <c r="D283">
        <v>75</v>
      </c>
      <c r="E283" s="16" t="s">
        <v>9</v>
      </c>
      <c r="F283" s="17">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45">
      <c r="B284" t="s">
        <v>306</v>
      </c>
      <c r="C284" t="s">
        <v>12</v>
      </c>
      <c r="D284">
        <v>103</v>
      </c>
      <c r="E284" s="16" t="s">
        <v>10</v>
      </c>
      <c r="F284" s="17">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45">
      <c r="B285" t="s">
        <v>307</v>
      </c>
      <c r="C285" t="s">
        <v>7</v>
      </c>
      <c r="D285">
        <v>116</v>
      </c>
      <c r="E285" s="16" t="s">
        <v>13</v>
      </c>
      <c r="F285" s="17">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45">
      <c r="B286" t="s">
        <v>308</v>
      </c>
      <c r="C286" t="s">
        <v>15</v>
      </c>
      <c r="D286">
        <v>61</v>
      </c>
      <c r="E286" s="16" t="s">
        <v>11</v>
      </c>
      <c r="F286" s="17">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45">
      <c r="B287" t="s">
        <v>309</v>
      </c>
      <c r="C287" t="s">
        <v>16</v>
      </c>
      <c r="D287">
        <v>126</v>
      </c>
      <c r="E287" s="16" t="s">
        <v>9</v>
      </c>
      <c r="F287" s="17">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45">
      <c r="B288" t="s">
        <v>310</v>
      </c>
      <c r="C288" t="s">
        <v>24</v>
      </c>
      <c r="D288">
        <v>141</v>
      </c>
      <c r="E288" s="16" t="s">
        <v>6</v>
      </c>
      <c r="F288" s="17">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45">
      <c r="B289" t="s">
        <v>311</v>
      </c>
      <c r="C289" t="s">
        <v>8</v>
      </c>
      <c r="D289">
        <v>95</v>
      </c>
      <c r="E289" s="16" t="s">
        <v>13</v>
      </c>
      <c r="F289" s="17">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45">
      <c r="B290" t="s">
        <v>312</v>
      </c>
      <c r="C290" t="s">
        <v>19</v>
      </c>
      <c r="D290">
        <v>39</v>
      </c>
      <c r="E290" s="16" t="s">
        <v>11</v>
      </c>
      <c r="F290" s="17">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45">
      <c r="B291" t="s">
        <v>313</v>
      </c>
      <c r="C291" t="s">
        <v>12</v>
      </c>
      <c r="D291">
        <v>127</v>
      </c>
      <c r="E291" s="16" t="s">
        <v>9</v>
      </c>
      <c r="F291" s="17">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45">
      <c r="B292" t="s">
        <v>314</v>
      </c>
      <c r="C292" t="s">
        <v>15</v>
      </c>
      <c r="D292">
        <v>78</v>
      </c>
      <c r="E292" s="16" t="s">
        <v>9</v>
      </c>
      <c r="F292" s="17">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45">
      <c r="B293" t="s">
        <v>315</v>
      </c>
      <c r="C293" t="s">
        <v>14</v>
      </c>
      <c r="D293">
        <v>40</v>
      </c>
      <c r="E293" s="16" t="s">
        <v>9</v>
      </c>
      <c r="F293" s="17">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45">
      <c r="B294" t="s">
        <v>316</v>
      </c>
      <c r="C294" t="s">
        <v>15</v>
      </c>
      <c r="D294">
        <v>56</v>
      </c>
      <c r="E294" s="16" t="s">
        <v>11</v>
      </c>
      <c r="F294" s="17">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45">
      <c r="B295" t="s">
        <v>317</v>
      </c>
      <c r="C295" t="s">
        <v>19</v>
      </c>
      <c r="D295">
        <v>59</v>
      </c>
      <c r="E295" s="16" t="s">
        <v>6</v>
      </c>
      <c r="F295" s="17">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45">
      <c r="B296" t="s">
        <v>318</v>
      </c>
      <c r="C296" t="s">
        <v>16</v>
      </c>
      <c r="D296">
        <v>30</v>
      </c>
      <c r="E296" s="16" t="s">
        <v>9</v>
      </c>
      <c r="F296" s="17">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45">
      <c r="B297" t="s">
        <v>319</v>
      </c>
      <c r="C297" t="s">
        <v>14</v>
      </c>
      <c r="D297">
        <v>63</v>
      </c>
      <c r="E297" s="16" t="s">
        <v>10</v>
      </c>
      <c r="F297" s="17">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45">
      <c r="B298" t="s">
        <v>320</v>
      </c>
      <c r="C298" t="s">
        <v>23</v>
      </c>
      <c r="D298">
        <v>56</v>
      </c>
      <c r="E298" s="16" t="s">
        <v>13</v>
      </c>
      <c r="F298" s="17">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45">
      <c r="B299" t="s">
        <v>321</v>
      </c>
      <c r="C299" t="s">
        <v>5</v>
      </c>
      <c r="D299">
        <v>95</v>
      </c>
      <c r="E299" s="16" t="s">
        <v>10</v>
      </c>
      <c r="F299" s="17">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45">
      <c r="B300" t="s">
        <v>322</v>
      </c>
      <c r="C300" t="s">
        <v>17</v>
      </c>
      <c r="D300">
        <v>128</v>
      </c>
      <c r="E300" s="16" t="s">
        <v>6</v>
      </c>
      <c r="F300" s="17">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45">
      <c r="B301" t="s">
        <v>323</v>
      </c>
      <c r="C301" t="s">
        <v>8</v>
      </c>
      <c r="D301">
        <v>49</v>
      </c>
      <c r="E301" s="16" t="s">
        <v>10</v>
      </c>
      <c r="F301" s="17">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45">
      <c r="B302" t="s">
        <v>324</v>
      </c>
      <c r="C302" t="s">
        <v>17</v>
      </c>
      <c r="D302">
        <v>89</v>
      </c>
      <c r="E302" s="16" t="s">
        <v>11</v>
      </c>
      <c r="F302" s="17">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45">
      <c r="B303" t="s">
        <v>325</v>
      </c>
      <c r="C303" t="s">
        <v>22</v>
      </c>
      <c r="D303">
        <v>87</v>
      </c>
      <c r="E303" s="16" t="s">
        <v>10</v>
      </c>
      <c r="F303" s="17">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45">
      <c r="B304" t="s">
        <v>326</v>
      </c>
      <c r="C304" t="s">
        <v>20</v>
      </c>
      <c r="D304">
        <v>60</v>
      </c>
      <c r="E304" s="16" t="s">
        <v>9</v>
      </c>
      <c r="F304" s="17">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45">
      <c r="B305" t="s">
        <v>327</v>
      </c>
      <c r="C305" t="s">
        <v>21</v>
      </c>
      <c r="D305">
        <v>42</v>
      </c>
      <c r="E305" s="16" t="s">
        <v>11</v>
      </c>
      <c r="F305" s="17">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45">
      <c r="B306" t="s">
        <v>328</v>
      </c>
      <c r="C306" t="s">
        <v>18</v>
      </c>
      <c r="D306">
        <v>99</v>
      </c>
      <c r="E306" s="16" t="s">
        <v>9</v>
      </c>
      <c r="F306" s="17">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45">
      <c r="B307" t="s">
        <v>329</v>
      </c>
      <c r="C307" t="s">
        <v>23</v>
      </c>
      <c r="D307">
        <v>20</v>
      </c>
      <c r="E307" s="16" t="s">
        <v>11</v>
      </c>
      <c r="F307" s="17">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45">
      <c r="B308" t="s">
        <v>330</v>
      </c>
      <c r="C308" t="s">
        <v>14</v>
      </c>
      <c r="D308">
        <v>65</v>
      </c>
      <c r="E308" s="16" t="s">
        <v>9</v>
      </c>
      <c r="F308" s="17">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45">
      <c r="B309" t="s">
        <v>331</v>
      </c>
      <c r="C309" t="s">
        <v>16</v>
      </c>
      <c r="D309">
        <v>71</v>
      </c>
      <c r="E309" s="16" t="s">
        <v>10</v>
      </c>
      <c r="F309" s="17">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45">
      <c r="B310" t="s">
        <v>332</v>
      </c>
      <c r="C310" t="s">
        <v>12</v>
      </c>
      <c r="D310">
        <v>95</v>
      </c>
      <c r="E310" s="16" t="s">
        <v>6</v>
      </c>
      <c r="F310" s="17">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45">
      <c r="B311" t="s">
        <v>333</v>
      </c>
      <c r="C311" t="s">
        <v>23</v>
      </c>
      <c r="D311">
        <v>81</v>
      </c>
      <c r="E311" s="16" t="s">
        <v>13</v>
      </c>
      <c r="F311" s="17">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45">
      <c r="B312" t="s">
        <v>334</v>
      </c>
      <c r="C312" t="s">
        <v>7</v>
      </c>
      <c r="D312">
        <v>137</v>
      </c>
      <c r="E312" s="16" t="s">
        <v>13</v>
      </c>
      <c r="F312" s="17">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45">
      <c r="B313" t="s">
        <v>335</v>
      </c>
      <c r="C313" t="s">
        <v>7</v>
      </c>
      <c r="D313">
        <v>40</v>
      </c>
      <c r="E313" s="16" t="s">
        <v>6</v>
      </c>
      <c r="F313" s="17">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45">
      <c r="B314" t="s">
        <v>336</v>
      </c>
      <c r="C314" t="s">
        <v>18</v>
      </c>
      <c r="D314">
        <v>111</v>
      </c>
      <c r="E314" s="16" t="s">
        <v>9</v>
      </c>
      <c r="F314" s="17">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45">
      <c r="B315" t="s">
        <v>337</v>
      </c>
      <c r="C315" t="s">
        <v>16</v>
      </c>
      <c r="D315">
        <v>106</v>
      </c>
      <c r="E315" s="16" t="s">
        <v>9</v>
      </c>
      <c r="F315" s="17">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45">
      <c r="B316" t="s">
        <v>338</v>
      </c>
      <c r="C316" t="s">
        <v>21</v>
      </c>
      <c r="D316">
        <v>133</v>
      </c>
      <c r="E316" s="16" t="s">
        <v>11</v>
      </c>
      <c r="F316" s="17">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45">
      <c r="B317" t="s">
        <v>339</v>
      </c>
      <c r="C317" t="s">
        <v>15</v>
      </c>
      <c r="D317">
        <v>38</v>
      </c>
      <c r="E317" s="16" t="s">
        <v>9</v>
      </c>
      <c r="F317" s="17">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45">
      <c r="B318" t="s">
        <v>340</v>
      </c>
      <c r="C318" t="s">
        <v>19</v>
      </c>
      <c r="D318">
        <v>130</v>
      </c>
      <c r="E318" s="16" t="s">
        <v>6</v>
      </c>
      <c r="F318" s="17">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45">
      <c r="B319" t="s">
        <v>341</v>
      </c>
      <c r="C319" t="s">
        <v>14</v>
      </c>
      <c r="D319">
        <v>23</v>
      </c>
      <c r="E319" s="16" t="s">
        <v>11</v>
      </c>
      <c r="F319" s="17">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45">
      <c r="B320" t="s">
        <v>342</v>
      </c>
      <c r="C320" t="s">
        <v>19</v>
      </c>
      <c r="D320">
        <v>124</v>
      </c>
      <c r="E320" s="16" t="s">
        <v>9</v>
      </c>
      <c r="F320" s="17">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45">
      <c r="B321" t="s">
        <v>343</v>
      </c>
      <c r="C321" t="s">
        <v>23</v>
      </c>
      <c r="D321">
        <v>107</v>
      </c>
      <c r="E321" s="16" t="s">
        <v>9</v>
      </c>
      <c r="F321" s="17">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45">
      <c r="B322" t="s">
        <v>344</v>
      </c>
      <c r="C322" t="s">
        <v>7</v>
      </c>
      <c r="D322">
        <v>60</v>
      </c>
      <c r="E322" s="16" t="s">
        <v>10</v>
      </c>
      <c r="F322" s="17">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45">
      <c r="B323" t="s">
        <v>345</v>
      </c>
      <c r="C323" t="s">
        <v>7</v>
      </c>
      <c r="D323">
        <v>158</v>
      </c>
      <c r="E323" s="16" t="s">
        <v>6</v>
      </c>
      <c r="F323" s="17">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45">
      <c r="B324" t="s">
        <v>346</v>
      </c>
      <c r="C324" t="s">
        <v>22</v>
      </c>
      <c r="D324">
        <v>110</v>
      </c>
      <c r="E324" s="16" t="s">
        <v>6</v>
      </c>
      <c r="F324" s="17">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45">
      <c r="B325" t="s">
        <v>347</v>
      </c>
      <c r="C325" t="s">
        <v>17</v>
      </c>
      <c r="D325">
        <v>70</v>
      </c>
      <c r="E325" s="16" t="s">
        <v>6</v>
      </c>
      <c r="F325" s="17">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45">
      <c r="B326" t="s">
        <v>348</v>
      </c>
      <c r="C326" t="s">
        <v>17</v>
      </c>
      <c r="D326">
        <v>150</v>
      </c>
      <c r="E326" s="16" t="s">
        <v>10</v>
      </c>
      <c r="F326" s="17">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45">
      <c r="B327" t="s">
        <v>349</v>
      </c>
      <c r="C327" t="s">
        <v>15</v>
      </c>
      <c r="D327">
        <v>36</v>
      </c>
      <c r="E327" s="16" t="s">
        <v>9</v>
      </c>
      <c r="F327" s="17">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45">
      <c r="B328" t="s">
        <v>350</v>
      </c>
      <c r="C328" t="s">
        <v>19</v>
      </c>
      <c r="D328">
        <v>74</v>
      </c>
      <c r="E328" s="16" t="s">
        <v>9</v>
      </c>
      <c r="F328" s="17">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45">
      <c r="B329" t="s">
        <v>351</v>
      </c>
      <c r="C329" t="s">
        <v>12</v>
      </c>
      <c r="D329">
        <v>75</v>
      </c>
      <c r="E329" s="16" t="s">
        <v>9</v>
      </c>
      <c r="F329" s="17">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45">
      <c r="B330" t="s">
        <v>352</v>
      </c>
      <c r="C330" t="s">
        <v>5</v>
      </c>
      <c r="D330">
        <v>70</v>
      </c>
      <c r="E330" s="16" t="s">
        <v>13</v>
      </c>
      <c r="F330" s="17">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45">
      <c r="B331" t="s">
        <v>353</v>
      </c>
      <c r="C331" t="s">
        <v>22</v>
      </c>
      <c r="D331">
        <v>23</v>
      </c>
      <c r="E331" s="16" t="s">
        <v>6</v>
      </c>
      <c r="F331" s="17">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45">
      <c r="B332" t="s">
        <v>354</v>
      </c>
      <c r="C332" t="s">
        <v>18</v>
      </c>
      <c r="D332">
        <v>104</v>
      </c>
      <c r="E332" s="16" t="s">
        <v>11</v>
      </c>
      <c r="F332" s="17">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45">
      <c r="B333" t="s">
        <v>355</v>
      </c>
      <c r="C333" t="s">
        <v>17</v>
      </c>
      <c r="D333">
        <v>95</v>
      </c>
      <c r="E333" s="16" t="s">
        <v>13</v>
      </c>
      <c r="F333" s="17">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45">
      <c r="B334" t="s">
        <v>356</v>
      </c>
      <c r="C334" t="s">
        <v>8</v>
      </c>
      <c r="D334">
        <v>49</v>
      </c>
      <c r="E334" s="16" t="s">
        <v>10</v>
      </c>
      <c r="F334" s="17">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45">
      <c r="B335" t="s">
        <v>357</v>
      </c>
      <c r="C335" t="s">
        <v>16</v>
      </c>
      <c r="D335">
        <v>8</v>
      </c>
      <c r="E335" s="16" t="s">
        <v>6</v>
      </c>
      <c r="F335" s="17">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45">
      <c r="B336" t="s">
        <v>358</v>
      </c>
      <c r="C336" t="s">
        <v>17</v>
      </c>
      <c r="D336">
        <v>157</v>
      </c>
      <c r="E336" s="16" t="s">
        <v>10</v>
      </c>
      <c r="F336" s="17">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45">
      <c r="B337" t="s">
        <v>359</v>
      </c>
      <c r="C337" t="s">
        <v>23</v>
      </c>
      <c r="D337">
        <v>74</v>
      </c>
      <c r="E337" s="16" t="s">
        <v>9</v>
      </c>
      <c r="F337" s="17">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45">
      <c r="B338" t="s">
        <v>360</v>
      </c>
      <c r="C338" t="s">
        <v>22</v>
      </c>
      <c r="D338">
        <v>72</v>
      </c>
      <c r="E338" s="16" t="s">
        <v>13</v>
      </c>
      <c r="F338" s="17">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45">
      <c r="B339" t="s">
        <v>361</v>
      </c>
      <c r="C339" t="s">
        <v>23</v>
      </c>
      <c r="D339">
        <v>79</v>
      </c>
      <c r="E339" s="16" t="s">
        <v>9</v>
      </c>
      <c r="F339" s="17">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45">
      <c r="B340" t="s">
        <v>362</v>
      </c>
      <c r="C340" t="s">
        <v>19</v>
      </c>
      <c r="D340">
        <v>23</v>
      </c>
      <c r="E340" s="16" t="s">
        <v>9</v>
      </c>
      <c r="F340" s="17">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45">
      <c r="B341" t="s">
        <v>363</v>
      </c>
      <c r="C341" t="s">
        <v>12</v>
      </c>
      <c r="D341">
        <v>69</v>
      </c>
      <c r="E341" s="16" t="s">
        <v>9</v>
      </c>
      <c r="F341" s="17">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45">
      <c r="B342" t="s">
        <v>364</v>
      </c>
      <c r="C342" t="s">
        <v>7</v>
      </c>
      <c r="D342">
        <v>64</v>
      </c>
      <c r="E342" s="16" t="s">
        <v>9</v>
      </c>
      <c r="F342" s="17">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45">
      <c r="B343" t="s">
        <v>365</v>
      </c>
      <c r="C343" t="s">
        <v>24</v>
      </c>
      <c r="D343">
        <v>47</v>
      </c>
      <c r="E343" s="16" t="s">
        <v>10</v>
      </c>
      <c r="F343" s="17">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45">
      <c r="B344" t="s">
        <v>366</v>
      </c>
      <c r="C344" t="s">
        <v>23</v>
      </c>
      <c r="D344">
        <v>55</v>
      </c>
      <c r="E344" s="16" t="s">
        <v>13</v>
      </c>
      <c r="F344" s="17">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45">
      <c r="B345" t="s">
        <v>367</v>
      </c>
      <c r="C345" t="s">
        <v>18</v>
      </c>
      <c r="D345">
        <v>104</v>
      </c>
      <c r="E345" s="16" t="s">
        <v>13</v>
      </c>
      <c r="F345" s="17">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45">
      <c r="B346" t="s">
        <v>368</v>
      </c>
      <c r="C346" t="s">
        <v>24</v>
      </c>
      <c r="D346">
        <v>116</v>
      </c>
      <c r="E346" s="16" t="s">
        <v>9</v>
      </c>
      <c r="F346" s="17">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45">
      <c r="B347" t="s">
        <v>369</v>
      </c>
      <c r="C347" t="s">
        <v>19</v>
      </c>
      <c r="D347">
        <v>99</v>
      </c>
      <c r="E347" s="16" t="s">
        <v>13</v>
      </c>
      <c r="F347" s="17">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45">
      <c r="B348" t="s">
        <v>370</v>
      </c>
      <c r="C348" t="s">
        <v>18</v>
      </c>
      <c r="D348">
        <v>84</v>
      </c>
      <c r="E348" s="16" t="s">
        <v>13</v>
      </c>
      <c r="F348" s="17">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45">
      <c r="B349" t="s">
        <v>371</v>
      </c>
      <c r="C349" t="s">
        <v>16</v>
      </c>
      <c r="D349">
        <v>159</v>
      </c>
      <c r="E349" s="16" t="s">
        <v>13</v>
      </c>
      <c r="F349" s="17">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45">
      <c r="B350" t="s">
        <v>372</v>
      </c>
      <c r="C350" t="s">
        <v>15</v>
      </c>
      <c r="D350">
        <v>25</v>
      </c>
      <c r="E350" s="16" t="s">
        <v>10</v>
      </c>
      <c r="F350" s="17">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45">
      <c r="B351" t="s">
        <v>373</v>
      </c>
      <c r="C351" t="s">
        <v>16</v>
      </c>
      <c r="D351">
        <v>53</v>
      </c>
      <c r="E351" s="16" t="s">
        <v>6</v>
      </c>
      <c r="F351" s="17">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45">
      <c r="B352" t="s">
        <v>374</v>
      </c>
      <c r="C352" t="s">
        <v>16</v>
      </c>
      <c r="D352">
        <v>89</v>
      </c>
      <c r="E352" s="16" t="s">
        <v>10</v>
      </c>
      <c r="F352" s="17">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45">
      <c r="B353" t="s">
        <v>375</v>
      </c>
      <c r="C353" t="s">
        <v>21</v>
      </c>
      <c r="D353">
        <v>73</v>
      </c>
      <c r="E353" s="16" t="s">
        <v>9</v>
      </c>
      <c r="F353" s="17">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45">
      <c r="B354" t="s">
        <v>376</v>
      </c>
      <c r="C354" t="s">
        <v>19</v>
      </c>
      <c r="D354">
        <v>50</v>
      </c>
      <c r="E354" s="16" t="s">
        <v>9</v>
      </c>
      <c r="F354" s="17">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45">
      <c r="B355" t="s">
        <v>377</v>
      </c>
      <c r="C355" t="s">
        <v>8</v>
      </c>
      <c r="D355">
        <v>98</v>
      </c>
      <c r="E355" s="16" t="s">
        <v>9</v>
      </c>
      <c r="F355" s="17">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45">
      <c r="B356" t="s">
        <v>378</v>
      </c>
      <c r="C356" t="s">
        <v>14</v>
      </c>
      <c r="D356">
        <v>114</v>
      </c>
      <c r="E356" s="16" t="s">
        <v>13</v>
      </c>
      <c r="F356" s="17">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45">
      <c r="B357" t="s">
        <v>379</v>
      </c>
      <c r="C357" t="s">
        <v>7</v>
      </c>
      <c r="D357">
        <v>67</v>
      </c>
      <c r="E357" s="16" t="s">
        <v>13</v>
      </c>
      <c r="F357" s="17">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45">
      <c r="B358" t="s">
        <v>380</v>
      </c>
      <c r="C358" t="s">
        <v>23</v>
      </c>
      <c r="D358">
        <v>91</v>
      </c>
      <c r="E358" s="16" t="s">
        <v>9</v>
      </c>
      <c r="F358" s="17">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45">
      <c r="B359" t="s">
        <v>381</v>
      </c>
      <c r="C359" t="s">
        <v>5</v>
      </c>
      <c r="D359">
        <v>67</v>
      </c>
      <c r="E359" s="16" t="s">
        <v>9</v>
      </c>
      <c r="F359" s="17">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45">
      <c r="B360" t="s">
        <v>382</v>
      </c>
      <c r="C360" t="s">
        <v>14</v>
      </c>
      <c r="D360">
        <v>139</v>
      </c>
      <c r="E360" s="16" t="s">
        <v>10</v>
      </c>
      <c r="F360" s="17">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45">
      <c r="B361" t="s">
        <v>383</v>
      </c>
      <c r="C361" t="s">
        <v>5</v>
      </c>
      <c r="D361">
        <v>102</v>
      </c>
      <c r="E361" s="16" t="s">
        <v>10</v>
      </c>
      <c r="F361" s="17">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45">
      <c r="B362" t="s">
        <v>384</v>
      </c>
      <c r="C362" t="s">
        <v>17</v>
      </c>
      <c r="D362">
        <v>108</v>
      </c>
      <c r="E362" s="16" t="s">
        <v>11</v>
      </c>
      <c r="F362" s="17">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45">
      <c r="B363" t="s">
        <v>385</v>
      </c>
      <c r="C363" t="s">
        <v>15</v>
      </c>
      <c r="D363">
        <v>66</v>
      </c>
      <c r="E363" s="16" t="s">
        <v>9</v>
      </c>
      <c r="F363" s="17">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45">
      <c r="B364" t="s">
        <v>386</v>
      </c>
      <c r="C364" t="s">
        <v>22</v>
      </c>
      <c r="D364">
        <v>85</v>
      </c>
      <c r="E364" s="16" t="s">
        <v>10</v>
      </c>
      <c r="F364" s="17">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45">
      <c r="B365" t="s">
        <v>387</v>
      </c>
      <c r="C365" t="s">
        <v>7</v>
      </c>
      <c r="D365">
        <v>55</v>
      </c>
      <c r="E365" s="16" t="s">
        <v>11</v>
      </c>
      <c r="F365" s="17">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45">
      <c r="B366" t="s">
        <v>388</v>
      </c>
      <c r="C366" t="s">
        <v>17</v>
      </c>
      <c r="D366">
        <v>17</v>
      </c>
      <c r="E366" s="16" t="s">
        <v>6</v>
      </c>
      <c r="F366" s="17">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45">
      <c r="B367" t="s">
        <v>389</v>
      </c>
      <c r="C367" t="s">
        <v>7</v>
      </c>
      <c r="D367">
        <v>128</v>
      </c>
      <c r="E367" s="16" t="s">
        <v>6</v>
      </c>
      <c r="F367" s="17">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45">
      <c r="B368" t="s">
        <v>390</v>
      </c>
      <c r="C368" t="s">
        <v>19</v>
      </c>
      <c r="D368">
        <v>45</v>
      </c>
      <c r="E368" s="16" t="s">
        <v>11</v>
      </c>
      <c r="F368" s="17">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45">
      <c r="B369" t="s">
        <v>391</v>
      </c>
      <c r="C369" t="s">
        <v>17</v>
      </c>
      <c r="D369">
        <v>41</v>
      </c>
      <c r="E369" s="16" t="s">
        <v>6</v>
      </c>
      <c r="F369" s="17">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45">
      <c r="B370" t="s">
        <v>392</v>
      </c>
      <c r="C370" t="s">
        <v>24</v>
      </c>
      <c r="D370">
        <v>49</v>
      </c>
      <c r="E370" s="16" t="s">
        <v>6</v>
      </c>
      <c r="F370" s="17">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45">
      <c r="B371" t="s">
        <v>393</v>
      </c>
      <c r="C371" t="s">
        <v>12</v>
      </c>
      <c r="D371">
        <v>21</v>
      </c>
      <c r="E371" s="16" t="s">
        <v>13</v>
      </c>
      <c r="F371" s="17">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45">
      <c r="B372" t="s">
        <v>394</v>
      </c>
      <c r="C372" t="s">
        <v>16</v>
      </c>
      <c r="D372">
        <v>133</v>
      </c>
      <c r="E372" s="16" t="s">
        <v>11</v>
      </c>
      <c r="F372" s="17">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45">
      <c r="B373" t="s">
        <v>395</v>
      </c>
      <c r="C373" t="s">
        <v>20</v>
      </c>
      <c r="D373">
        <v>135</v>
      </c>
      <c r="E373" s="16" t="s">
        <v>9</v>
      </c>
      <c r="F373" s="17">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45">
      <c r="B374" t="s">
        <v>396</v>
      </c>
      <c r="C374" t="s">
        <v>14</v>
      </c>
      <c r="D374">
        <v>69</v>
      </c>
      <c r="E374" s="16" t="s">
        <v>11</v>
      </c>
      <c r="F374" s="17">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45">
      <c r="B375" t="s">
        <v>397</v>
      </c>
      <c r="C375" t="s">
        <v>18</v>
      </c>
      <c r="D375">
        <v>110</v>
      </c>
      <c r="E375" s="16" t="s">
        <v>13</v>
      </c>
      <c r="F375" s="17">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45">
      <c r="B376" t="s">
        <v>398</v>
      </c>
      <c r="C376" t="s">
        <v>5</v>
      </c>
      <c r="D376">
        <v>64</v>
      </c>
      <c r="E376" s="16" t="s">
        <v>10</v>
      </c>
      <c r="F376" s="17">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45">
      <c r="B377" t="s">
        <v>399</v>
      </c>
      <c r="C377" t="s">
        <v>23</v>
      </c>
      <c r="D377">
        <v>105</v>
      </c>
      <c r="E377" s="16" t="s">
        <v>6</v>
      </c>
      <c r="F377" s="17">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45">
      <c r="B378" t="s">
        <v>400</v>
      </c>
      <c r="C378" t="s">
        <v>5</v>
      </c>
      <c r="D378">
        <v>165</v>
      </c>
      <c r="E378" s="16" t="s">
        <v>9</v>
      </c>
      <c r="F378" s="17">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45">
      <c r="B379" t="s">
        <v>401</v>
      </c>
      <c r="C379" t="s">
        <v>19</v>
      </c>
      <c r="D379">
        <v>125</v>
      </c>
      <c r="E379" s="16" t="s">
        <v>9</v>
      </c>
      <c r="F379" s="17">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45">
      <c r="B380" t="s">
        <v>402</v>
      </c>
      <c r="C380" t="s">
        <v>23</v>
      </c>
      <c r="D380">
        <v>88</v>
      </c>
      <c r="E380" s="16" t="s">
        <v>10</v>
      </c>
      <c r="F380" s="17">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45">
      <c r="B381" t="s">
        <v>403</v>
      </c>
      <c r="C381" t="s">
        <v>14</v>
      </c>
      <c r="D381">
        <v>6</v>
      </c>
      <c r="E381" s="16" t="s">
        <v>10</v>
      </c>
      <c r="F381" s="17">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45">
      <c r="B382" t="s">
        <v>404</v>
      </c>
      <c r="C382" t="s">
        <v>22</v>
      </c>
      <c r="D382">
        <v>69</v>
      </c>
      <c r="E382" s="16" t="s">
        <v>11</v>
      </c>
      <c r="F382" s="17">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45">
      <c r="B383" t="s">
        <v>405</v>
      </c>
      <c r="C383" t="s">
        <v>17</v>
      </c>
      <c r="D383">
        <v>107</v>
      </c>
      <c r="E383" s="16" t="s">
        <v>11</v>
      </c>
      <c r="F383" s="17">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45">
      <c r="B384" t="s">
        <v>406</v>
      </c>
      <c r="C384" t="s">
        <v>12</v>
      </c>
      <c r="D384">
        <v>90</v>
      </c>
      <c r="E384" s="16" t="s">
        <v>9</v>
      </c>
      <c r="F384" s="17">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45">
      <c r="B385" t="s">
        <v>407</v>
      </c>
      <c r="C385" t="s">
        <v>20</v>
      </c>
      <c r="D385">
        <v>120</v>
      </c>
      <c r="E385" s="16" t="s">
        <v>6</v>
      </c>
      <c r="F385" s="17">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45">
      <c r="B386" t="s">
        <v>408</v>
      </c>
      <c r="C386" t="s">
        <v>8</v>
      </c>
      <c r="D386">
        <v>47</v>
      </c>
      <c r="E386" s="16" t="s">
        <v>11</v>
      </c>
      <c r="F386" s="17">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45">
      <c r="B387" t="s">
        <v>409</v>
      </c>
      <c r="C387" t="s">
        <v>21</v>
      </c>
      <c r="D387">
        <v>60</v>
      </c>
      <c r="E387" s="16" t="s">
        <v>6</v>
      </c>
      <c r="F387" s="17">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45">
      <c r="B388" t="s">
        <v>410</v>
      </c>
      <c r="C388" t="s">
        <v>7</v>
      </c>
      <c r="D388">
        <v>64</v>
      </c>
      <c r="E388" s="16" t="s">
        <v>9</v>
      </c>
      <c r="F388" s="17">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45">
      <c r="B389" t="s">
        <v>411</v>
      </c>
      <c r="C389" t="s">
        <v>5</v>
      </c>
      <c r="D389">
        <v>62</v>
      </c>
      <c r="E389" s="16" t="s">
        <v>11</v>
      </c>
      <c r="F389" s="17">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45">
      <c r="B390" t="s">
        <v>412</v>
      </c>
      <c r="C390" t="s">
        <v>18</v>
      </c>
      <c r="D390">
        <v>88</v>
      </c>
      <c r="E390" s="16" t="s">
        <v>11</v>
      </c>
      <c r="F390" s="17">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45">
      <c r="B391" t="s">
        <v>413</v>
      </c>
      <c r="C391" t="s">
        <v>19</v>
      </c>
      <c r="D391">
        <v>116</v>
      </c>
      <c r="E391" s="16" t="s">
        <v>11</v>
      </c>
      <c r="F391" s="17">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45">
      <c r="B392" t="s">
        <v>414</v>
      </c>
      <c r="C392" t="s">
        <v>12</v>
      </c>
      <c r="D392">
        <v>82</v>
      </c>
      <c r="E392" s="16" t="s">
        <v>10</v>
      </c>
      <c r="F392" s="17">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45">
      <c r="B393" t="s">
        <v>415</v>
      </c>
      <c r="C393" t="s">
        <v>5</v>
      </c>
      <c r="D393">
        <v>99</v>
      </c>
      <c r="E393" s="16" t="s">
        <v>9</v>
      </c>
      <c r="F393" s="17">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45">
      <c r="B394" t="s">
        <v>416</v>
      </c>
      <c r="C394" t="s">
        <v>5</v>
      </c>
      <c r="D394">
        <v>55</v>
      </c>
      <c r="E394" s="16" t="s">
        <v>10</v>
      </c>
      <c r="F394" s="17">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45">
      <c r="B395" t="s">
        <v>417</v>
      </c>
      <c r="C395" t="s">
        <v>7</v>
      </c>
      <c r="D395">
        <v>61</v>
      </c>
      <c r="E395" s="16" t="s">
        <v>6</v>
      </c>
      <c r="F395" s="17">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45">
      <c r="B396" t="s">
        <v>418</v>
      </c>
      <c r="C396" t="s">
        <v>19</v>
      </c>
      <c r="D396">
        <v>36</v>
      </c>
      <c r="E396" s="16" t="s">
        <v>13</v>
      </c>
      <c r="F396" s="17">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45">
      <c r="B397" t="s">
        <v>419</v>
      </c>
      <c r="C397" t="s">
        <v>12</v>
      </c>
      <c r="D397">
        <v>123</v>
      </c>
      <c r="E397" s="16" t="s">
        <v>11</v>
      </c>
      <c r="F397" s="17">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45">
      <c r="B398" t="s">
        <v>420</v>
      </c>
      <c r="C398" t="s">
        <v>24</v>
      </c>
      <c r="D398">
        <v>24</v>
      </c>
      <c r="E398" s="16" t="s">
        <v>6</v>
      </c>
      <c r="F398" s="17">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45">
      <c r="B399" t="s">
        <v>421</v>
      </c>
      <c r="C399" t="s">
        <v>12</v>
      </c>
      <c r="D399">
        <v>43</v>
      </c>
      <c r="E399" s="16" t="s">
        <v>11</v>
      </c>
      <c r="F399" s="17">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45">
      <c r="B400" t="s">
        <v>422</v>
      </c>
      <c r="C400" t="s">
        <v>21</v>
      </c>
      <c r="D400">
        <v>95</v>
      </c>
      <c r="E400" s="16" t="s">
        <v>9</v>
      </c>
      <c r="F400" s="17">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45">
      <c r="B401" t="s">
        <v>423</v>
      </c>
      <c r="C401" t="s">
        <v>5</v>
      </c>
      <c r="D401">
        <v>53</v>
      </c>
      <c r="E401" s="16" t="s">
        <v>11</v>
      </c>
      <c r="F401" s="17">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45">
      <c r="B402" t="s">
        <v>424</v>
      </c>
      <c r="C402" t="s">
        <v>12</v>
      </c>
      <c r="D402">
        <v>113</v>
      </c>
      <c r="E402" s="16" t="s">
        <v>11</v>
      </c>
      <c r="F402" s="17">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45">
      <c r="B403" t="s">
        <v>425</v>
      </c>
      <c r="C403" t="s">
        <v>5</v>
      </c>
      <c r="D403">
        <v>89</v>
      </c>
      <c r="E403" s="16" t="s">
        <v>13</v>
      </c>
      <c r="F403" s="17">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45">
      <c r="B404" t="s">
        <v>426</v>
      </c>
      <c r="C404" t="s">
        <v>18</v>
      </c>
      <c r="D404">
        <v>84</v>
      </c>
      <c r="E404" s="16" t="s">
        <v>10</v>
      </c>
      <c r="F404" s="17">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45">
      <c r="B405" t="s">
        <v>427</v>
      </c>
      <c r="C405" t="s">
        <v>24</v>
      </c>
      <c r="D405">
        <v>130</v>
      </c>
      <c r="E405" s="16" t="s">
        <v>11</v>
      </c>
      <c r="F405" s="17">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45">
      <c r="B406" t="s">
        <v>428</v>
      </c>
      <c r="C406" t="s">
        <v>21</v>
      </c>
      <c r="D406">
        <v>163</v>
      </c>
      <c r="E406" s="16" t="s">
        <v>13</v>
      </c>
      <c r="F406" s="17">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45">
      <c r="B407" t="s">
        <v>429</v>
      </c>
      <c r="C407" t="s">
        <v>22</v>
      </c>
      <c r="D407">
        <v>127</v>
      </c>
      <c r="E407" s="16" t="s">
        <v>11</v>
      </c>
      <c r="F407" s="17">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45">
      <c r="B408" t="s">
        <v>430</v>
      </c>
      <c r="C408" t="s">
        <v>12</v>
      </c>
      <c r="D408">
        <v>50</v>
      </c>
      <c r="E408" s="16" t="s">
        <v>11</v>
      </c>
      <c r="F408" s="17">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45">
      <c r="B409" t="s">
        <v>431</v>
      </c>
      <c r="C409" t="s">
        <v>15</v>
      </c>
      <c r="D409">
        <v>88</v>
      </c>
      <c r="E409" s="16" t="s">
        <v>6</v>
      </c>
      <c r="F409" s="17">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45">
      <c r="B410" t="s">
        <v>432</v>
      </c>
      <c r="C410" t="s">
        <v>12</v>
      </c>
      <c r="D410">
        <v>139</v>
      </c>
      <c r="E410" s="16" t="s">
        <v>9</v>
      </c>
      <c r="F410" s="17">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45">
      <c r="B411" t="s">
        <v>433</v>
      </c>
      <c r="C411" t="s">
        <v>21</v>
      </c>
      <c r="D411">
        <v>111</v>
      </c>
      <c r="E411" s="16" t="s">
        <v>11</v>
      </c>
      <c r="F411" s="17">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45">
      <c r="B412" t="s">
        <v>434</v>
      </c>
      <c r="C412" t="s">
        <v>23</v>
      </c>
      <c r="D412">
        <v>115</v>
      </c>
      <c r="E412" s="16" t="s">
        <v>9</v>
      </c>
      <c r="F412" s="17">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45">
      <c r="B413" t="s">
        <v>435</v>
      </c>
      <c r="C413" t="s">
        <v>5</v>
      </c>
      <c r="D413">
        <v>26</v>
      </c>
      <c r="E413" s="16" t="s">
        <v>13</v>
      </c>
      <c r="F413" s="17">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45">
      <c r="B414" t="s">
        <v>436</v>
      </c>
      <c r="C414" t="s">
        <v>18</v>
      </c>
      <c r="D414">
        <v>131</v>
      </c>
      <c r="E414" s="16" t="s">
        <v>6</v>
      </c>
      <c r="F414" s="17">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45">
      <c r="B415" t="s">
        <v>437</v>
      </c>
      <c r="C415" t="s">
        <v>23</v>
      </c>
      <c r="D415">
        <v>27</v>
      </c>
      <c r="E415" s="16" t="s">
        <v>6</v>
      </c>
      <c r="F415" s="17">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45">
      <c r="B416" t="s">
        <v>438</v>
      </c>
      <c r="C416" t="s">
        <v>16</v>
      </c>
      <c r="D416">
        <v>75</v>
      </c>
      <c r="E416" s="16" t="s">
        <v>11</v>
      </c>
      <c r="F416" s="17">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45">
      <c r="B417" t="s">
        <v>439</v>
      </c>
      <c r="C417" t="s">
        <v>7</v>
      </c>
      <c r="D417">
        <v>123</v>
      </c>
      <c r="E417" s="16" t="s">
        <v>6</v>
      </c>
      <c r="F417" s="17">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45">
      <c r="B418" t="s">
        <v>440</v>
      </c>
      <c r="C418" t="s">
        <v>20</v>
      </c>
      <c r="D418">
        <v>129</v>
      </c>
      <c r="E418" s="16" t="s">
        <v>6</v>
      </c>
      <c r="F418" s="17">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45">
      <c r="B419" t="s">
        <v>441</v>
      </c>
      <c r="C419" t="s">
        <v>16</v>
      </c>
      <c r="D419">
        <v>124</v>
      </c>
      <c r="E419" s="16" t="s">
        <v>9</v>
      </c>
      <c r="F419" s="17">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45">
      <c r="B420" t="s">
        <v>442</v>
      </c>
      <c r="C420" t="s">
        <v>23</v>
      </c>
      <c r="D420">
        <v>108</v>
      </c>
      <c r="E420" s="16" t="s">
        <v>9</v>
      </c>
      <c r="F420" s="17">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45">
      <c r="B421" t="s">
        <v>443</v>
      </c>
      <c r="C421" t="s">
        <v>8</v>
      </c>
      <c r="D421">
        <v>15</v>
      </c>
      <c r="E421" s="16" t="s">
        <v>9</v>
      </c>
      <c r="F421" s="17">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45">
      <c r="B422" t="s">
        <v>444</v>
      </c>
      <c r="C422" t="s">
        <v>23</v>
      </c>
      <c r="D422">
        <v>66</v>
      </c>
      <c r="E422" s="16" t="s">
        <v>9</v>
      </c>
      <c r="F422" s="17">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45">
      <c r="B423" t="s">
        <v>445</v>
      </c>
      <c r="C423" t="s">
        <v>15</v>
      </c>
      <c r="D423">
        <v>126</v>
      </c>
      <c r="E423" s="16" t="s">
        <v>11</v>
      </c>
      <c r="F423" s="17">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45">
      <c r="B424" t="s">
        <v>446</v>
      </c>
      <c r="C424" t="s">
        <v>16</v>
      </c>
      <c r="D424">
        <v>26</v>
      </c>
      <c r="E424" s="16" t="s">
        <v>10</v>
      </c>
      <c r="F424" s="17">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45">
      <c r="B425" t="s">
        <v>447</v>
      </c>
      <c r="C425" t="s">
        <v>24</v>
      </c>
      <c r="D425">
        <v>105</v>
      </c>
      <c r="E425" s="16" t="s">
        <v>11</v>
      </c>
      <c r="F425" s="17">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45">
      <c r="B426" t="s">
        <v>448</v>
      </c>
      <c r="C426" t="s">
        <v>24</v>
      </c>
      <c r="D426">
        <v>31</v>
      </c>
      <c r="E426" s="16" t="s">
        <v>11</v>
      </c>
      <c r="F426" s="17">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45">
      <c r="B427" t="s">
        <v>449</v>
      </c>
      <c r="C427" t="s">
        <v>23</v>
      </c>
      <c r="D427">
        <v>109</v>
      </c>
      <c r="E427" s="16" t="s">
        <v>9</v>
      </c>
      <c r="F427" s="17">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45">
      <c r="B428" t="s">
        <v>450</v>
      </c>
      <c r="C428" t="s">
        <v>20</v>
      </c>
      <c r="D428">
        <v>113</v>
      </c>
      <c r="E428" s="16" t="s">
        <v>13</v>
      </c>
      <c r="F428" s="17">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45">
      <c r="B429" t="s">
        <v>451</v>
      </c>
      <c r="C429" t="s">
        <v>15</v>
      </c>
      <c r="D429">
        <v>101</v>
      </c>
      <c r="E429" s="16" t="s">
        <v>10</v>
      </c>
      <c r="F429" s="17">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45">
      <c r="B430" t="s">
        <v>452</v>
      </c>
      <c r="C430" t="s">
        <v>21</v>
      </c>
      <c r="D430">
        <v>156</v>
      </c>
      <c r="E430" s="16" t="s">
        <v>10</v>
      </c>
      <c r="F430" s="17">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45">
      <c r="B431" t="s">
        <v>453</v>
      </c>
      <c r="C431" t="s">
        <v>23</v>
      </c>
      <c r="D431">
        <v>145</v>
      </c>
      <c r="E431" s="16" t="s">
        <v>13</v>
      </c>
      <c r="F431" s="17">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45">
      <c r="B432" t="s">
        <v>454</v>
      </c>
      <c r="C432" t="s">
        <v>7</v>
      </c>
      <c r="D432">
        <v>36</v>
      </c>
      <c r="E432" s="16" t="s">
        <v>9</v>
      </c>
      <c r="F432" s="17">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45">
      <c r="B433" t="s">
        <v>455</v>
      </c>
      <c r="C433" t="s">
        <v>24</v>
      </c>
      <c r="D433">
        <v>135</v>
      </c>
      <c r="E433" s="16" t="s">
        <v>6</v>
      </c>
      <c r="F433" s="17">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45">
      <c r="B434" t="s">
        <v>456</v>
      </c>
      <c r="C434" t="s">
        <v>15</v>
      </c>
      <c r="D434">
        <v>81</v>
      </c>
      <c r="E434" s="16" t="s">
        <v>9</v>
      </c>
      <c r="F434" s="17">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45">
      <c r="B435" t="s">
        <v>457</v>
      </c>
      <c r="C435" t="s">
        <v>15</v>
      </c>
      <c r="D435">
        <v>81</v>
      </c>
      <c r="E435" s="16" t="s">
        <v>13</v>
      </c>
      <c r="F435" s="17">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45">
      <c r="B436" t="s">
        <v>458</v>
      </c>
      <c r="C436" t="s">
        <v>22</v>
      </c>
      <c r="D436">
        <v>93</v>
      </c>
      <c r="E436" s="16" t="s">
        <v>11</v>
      </c>
      <c r="F436" s="17">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45">
      <c r="B437" t="s">
        <v>459</v>
      </c>
      <c r="C437" t="s">
        <v>23</v>
      </c>
      <c r="D437">
        <v>14</v>
      </c>
      <c r="E437" s="16" t="s">
        <v>9</v>
      </c>
      <c r="F437" s="17">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45">
      <c r="B438" t="s">
        <v>460</v>
      </c>
      <c r="C438" t="s">
        <v>24</v>
      </c>
      <c r="D438">
        <v>95</v>
      </c>
      <c r="E438" s="16" t="s">
        <v>13</v>
      </c>
      <c r="F438" s="17">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45">
      <c r="B439" t="s">
        <v>461</v>
      </c>
      <c r="C439" t="s">
        <v>22</v>
      </c>
      <c r="D439">
        <v>81</v>
      </c>
      <c r="E439" s="16" t="s">
        <v>13</v>
      </c>
      <c r="F439" s="17">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45">
      <c r="B440" t="s">
        <v>462</v>
      </c>
      <c r="C440" t="s">
        <v>5</v>
      </c>
      <c r="D440">
        <v>60</v>
      </c>
      <c r="E440" s="16" t="s">
        <v>9</v>
      </c>
      <c r="F440" s="17">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45">
      <c r="B441" t="s">
        <v>463</v>
      </c>
      <c r="C441" t="s">
        <v>14</v>
      </c>
      <c r="D441">
        <v>137</v>
      </c>
      <c r="E441" s="16" t="s">
        <v>11</v>
      </c>
      <c r="F441" s="17">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45">
      <c r="B442" t="s">
        <v>464</v>
      </c>
      <c r="C442" t="s">
        <v>12</v>
      </c>
      <c r="D442">
        <v>112</v>
      </c>
      <c r="E442" s="16" t="s">
        <v>6</v>
      </c>
      <c r="F442" s="17">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45">
      <c r="B443" t="s">
        <v>465</v>
      </c>
      <c r="C443" t="s">
        <v>24</v>
      </c>
      <c r="D443">
        <v>76</v>
      </c>
      <c r="E443" s="16" t="s">
        <v>10</v>
      </c>
      <c r="F443" s="17">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45">
      <c r="B444" t="s">
        <v>466</v>
      </c>
      <c r="C444" t="s">
        <v>19</v>
      </c>
      <c r="D444">
        <v>73</v>
      </c>
      <c r="E444" s="16" t="s">
        <v>9</v>
      </c>
      <c r="F444" s="17">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45">
      <c r="B445" t="s">
        <v>467</v>
      </c>
      <c r="C445" t="s">
        <v>18</v>
      </c>
      <c r="D445">
        <v>119</v>
      </c>
      <c r="E445" s="16" t="s">
        <v>11</v>
      </c>
      <c r="F445" s="17">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45">
      <c r="B446" t="s">
        <v>468</v>
      </c>
      <c r="C446" t="s">
        <v>20</v>
      </c>
      <c r="D446">
        <v>135</v>
      </c>
      <c r="E446" s="16" t="s">
        <v>13</v>
      </c>
      <c r="F446" s="17">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45">
      <c r="B447" t="s">
        <v>469</v>
      </c>
      <c r="C447" t="s">
        <v>14</v>
      </c>
      <c r="D447">
        <v>41</v>
      </c>
      <c r="E447" s="16" t="s">
        <v>6</v>
      </c>
      <c r="F447" s="17">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45">
      <c r="B448" t="s">
        <v>470</v>
      </c>
      <c r="C448" t="s">
        <v>23</v>
      </c>
      <c r="D448">
        <v>35</v>
      </c>
      <c r="E448" s="16" t="s">
        <v>13</v>
      </c>
      <c r="F448" s="17">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45">
      <c r="B449" t="s">
        <v>471</v>
      </c>
      <c r="C449" t="s">
        <v>20</v>
      </c>
      <c r="D449">
        <v>96</v>
      </c>
      <c r="E449" s="16" t="s">
        <v>9</v>
      </c>
      <c r="F449" s="17">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45">
      <c r="B450" t="s">
        <v>472</v>
      </c>
      <c r="C450" t="s">
        <v>22</v>
      </c>
      <c r="D450">
        <v>61</v>
      </c>
      <c r="E450" s="16" t="s">
        <v>6</v>
      </c>
      <c r="F450" s="17">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45">
      <c r="B451" t="s">
        <v>473</v>
      </c>
      <c r="C451" t="s">
        <v>20</v>
      </c>
      <c r="D451">
        <v>91</v>
      </c>
      <c r="E451" s="16" t="s">
        <v>6</v>
      </c>
      <c r="F451" s="17">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45">
      <c r="B452" t="s">
        <v>474</v>
      </c>
      <c r="C452" t="s">
        <v>17</v>
      </c>
      <c r="D452">
        <v>30</v>
      </c>
      <c r="E452" s="16" t="s">
        <v>6</v>
      </c>
      <c r="F452" s="17">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45">
      <c r="B453" t="s">
        <v>475</v>
      </c>
      <c r="C453" t="s">
        <v>5</v>
      </c>
      <c r="D453">
        <v>111</v>
      </c>
      <c r="E453" s="16" t="s">
        <v>11</v>
      </c>
      <c r="F453" s="17">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45">
      <c r="B454" t="s">
        <v>476</v>
      </c>
      <c r="C454" t="s">
        <v>22</v>
      </c>
      <c r="D454">
        <v>81</v>
      </c>
      <c r="E454" s="16" t="s">
        <v>9</v>
      </c>
      <c r="F454" s="17">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45">
      <c r="B455" t="s">
        <v>477</v>
      </c>
      <c r="C455" t="s">
        <v>24</v>
      </c>
      <c r="D455">
        <v>40</v>
      </c>
      <c r="E455" s="16" t="s">
        <v>13</v>
      </c>
      <c r="F455" s="17">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45">
      <c r="B456" t="s">
        <v>478</v>
      </c>
      <c r="C456" t="s">
        <v>5</v>
      </c>
      <c r="D456">
        <v>143</v>
      </c>
      <c r="E456" s="16" t="s">
        <v>13</v>
      </c>
      <c r="F456" s="17">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45">
      <c r="B457" t="s">
        <v>479</v>
      </c>
      <c r="C457" t="s">
        <v>24</v>
      </c>
      <c r="D457">
        <v>70</v>
      </c>
      <c r="E457" s="16" t="s">
        <v>13</v>
      </c>
      <c r="F457" s="17">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45">
      <c r="B458" t="s">
        <v>480</v>
      </c>
      <c r="C458" t="s">
        <v>19</v>
      </c>
      <c r="D458">
        <v>137</v>
      </c>
      <c r="E458" s="16" t="s">
        <v>13</v>
      </c>
      <c r="F458" s="17">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45">
      <c r="B459" t="s">
        <v>481</v>
      </c>
      <c r="C459" t="s">
        <v>20</v>
      </c>
      <c r="D459">
        <v>52</v>
      </c>
      <c r="E459" s="16" t="s">
        <v>9</v>
      </c>
      <c r="F459" s="17">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45">
      <c r="B460" t="s">
        <v>482</v>
      </c>
      <c r="C460" t="s">
        <v>12</v>
      </c>
      <c r="D460">
        <v>31</v>
      </c>
      <c r="E460" s="16" t="s">
        <v>11</v>
      </c>
      <c r="F460" s="17">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45">
      <c r="B461" t="s">
        <v>483</v>
      </c>
      <c r="C461" t="s">
        <v>20</v>
      </c>
      <c r="D461">
        <v>114</v>
      </c>
      <c r="E461" s="16" t="s">
        <v>6</v>
      </c>
      <c r="F461" s="17">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45">
      <c r="B462" t="s">
        <v>484</v>
      </c>
      <c r="C462" t="s">
        <v>19</v>
      </c>
      <c r="D462">
        <v>73</v>
      </c>
      <c r="E462" s="16" t="s">
        <v>10</v>
      </c>
      <c r="F462" s="17">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45">
      <c r="B463" t="s">
        <v>485</v>
      </c>
      <c r="C463" t="s">
        <v>22</v>
      </c>
      <c r="D463">
        <v>25</v>
      </c>
      <c r="E463" s="16" t="s">
        <v>11</v>
      </c>
      <c r="F463" s="17">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45">
      <c r="B464" t="s">
        <v>486</v>
      </c>
      <c r="C464" t="s">
        <v>8</v>
      </c>
      <c r="D464">
        <v>44</v>
      </c>
      <c r="E464" s="16" t="s">
        <v>6</v>
      </c>
      <c r="F464" s="17">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45">
      <c r="B465" t="s">
        <v>487</v>
      </c>
      <c r="C465" t="s">
        <v>7</v>
      </c>
      <c r="D465">
        <v>34</v>
      </c>
      <c r="E465" s="16" t="s">
        <v>9</v>
      </c>
      <c r="F465" s="17">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45">
      <c r="B466" t="s">
        <v>488</v>
      </c>
      <c r="C466" t="s">
        <v>5</v>
      </c>
      <c r="D466">
        <v>89</v>
      </c>
      <c r="E466" s="16" t="s">
        <v>13</v>
      </c>
      <c r="F466" s="17">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45">
      <c r="B467" t="s">
        <v>489</v>
      </c>
      <c r="C467" t="s">
        <v>18</v>
      </c>
      <c r="D467">
        <v>54</v>
      </c>
      <c r="E467" s="16" t="s">
        <v>11</v>
      </c>
      <c r="F467" s="17">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45">
      <c r="B468" t="s">
        <v>490</v>
      </c>
      <c r="C468" t="s">
        <v>23</v>
      </c>
      <c r="D468">
        <v>25</v>
      </c>
      <c r="E468" s="16" t="s">
        <v>11</v>
      </c>
      <c r="F468" s="17">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45">
      <c r="B469" t="s">
        <v>491</v>
      </c>
      <c r="C469" t="s">
        <v>14</v>
      </c>
      <c r="D469">
        <v>91</v>
      </c>
      <c r="E469" s="16" t="s">
        <v>13</v>
      </c>
      <c r="F469" s="17">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45">
      <c r="B470" t="s">
        <v>492</v>
      </c>
      <c r="C470" t="s">
        <v>8</v>
      </c>
      <c r="D470">
        <v>144</v>
      </c>
      <c r="E470" s="16" t="s">
        <v>6</v>
      </c>
      <c r="F470" s="17">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45">
      <c r="B471" t="s">
        <v>493</v>
      </c>
      <c r="C471" t="s">
        <v>14</v>
      </c>
      <c r="D471">
        <v>81</v>
      </c>
      <c r="E471" s="16" t="s">
        <v>9</v>
      </c>
      <c r="F471" s="17">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45">
      <c r="B472" t="s">
        <v>494</v>
      </c>
      <c r="C472" t="s">
        <v>17</v>
      </c>
      <c r="D472">
        <v>92</v>
      </c>
      <c r="E472" s="16" t="s">
        <v>11</v>
      </c>
      <c r="F472" s="17">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45">
      <c r="B473" t="s">
        <v>495</v>
      </c>
      <c r="C473" t="s">
        <v>23</v>
      </c>
      <c r="D473">
        <v>115</v>
      </c>
      <c r="E473" s="16" t="s">
        <v>13</v>
      </c>
      <c r="F473" s="17">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45">
      <c r="B474" t="s">
        <v>496</v>
      </c>
      <c r="C474" t="s">
        <v>15</v>
      </c>
      <c r="D474">
        <v>56</v>
      </c>
      <c r="E474" s="16" t="s">
        <v>13</v>
      </c>
      <c r="F474" s="17">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45">
      <c r="B475" t="s">
        <v>497</v>
      </c>
      <c r="C475" t="s">
        <v>12</v>
      </c>
      <c r="D475">
        <v>154</v>
      </c>
      <c r="E475" s="16" t="s">
        <v>11</v>
      </c>
      <c r="F475" s="17">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45">
      <c r="B476" t="s">
        <v>498</v>
      </c>
      <c r="C476" t="s">
        <v>5</v>
      </c>
      <c r="D476">
        <v>51</v>
      </c>
      <c r="E476" s="16" t="s">
        <v>13</v>
      </c>
      <c r="F476" s="17">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45">
      <c r="B477" t="s">
        <v>499</v>
      </c>
      <c r="C477" t="s">
        <v>7</v>
      </c>
      <c r="D477">
        <v>21</v>
      </c>
      <c r="E477" s="16" t="s">
        <v>9</v>
      </c>
      <c r="F477" s="17">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45">
      <c r="B478" t="s">
        <v>500</v>
      </c>
      <c r="C478" t="s">
        <v>23</v>
      </c>
      <c r="D478">
        <v>80</v>
      </c>
      <c r="E478" s="16" t="s">
        <v>13</v>
      </c>
      <c r="F478" s="17">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45">
      <c r="B479" t="s">
        <v>501</v>
      </c>
      <c r="C479" t="s">
        <v>5</v>
      </c>
      <c r="D479">
        <v>139</v>
      </c>
      <c r="E479" s="16" t="s">
        <v>11</v>
      </c>
      <c r="F479" s="17">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45">
      <c r="B480" t="s">
        <v>502</v>
      </c>
      <c r="C480" t="s">
        <v>24</v>
      </c>
      <c r="D480">
        <v>50</v>
      </c>
      <c r="E480" s="16" t="s">
        <v>9</v>
      </c>
      <c r="F480" s="17">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45">
      <c r="B481" t="s">
        <v>503</v>
      </c>
      <c r="C481" t="s">
        <v>23</v>
      </c>
      <c r="D481">
        <v>88</v>
      </c>
      <c r="E481" s="16" t="s">
        <v>13</v>
      </c>
      <c r="F481" s="17">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45">
      <c r="B482" t="s">
        <v>504</v>
      </c>
      <c r="C482" t="s">
        <v>18</v>
      </c>
      <c r="D482">
        <v>19</v>
      </c>
      <c r="E482" s="16" t="s">
        <v>6</v>
      </c>
      <c r="F482" s="17">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45">
      <c r="B483" t="s">
        <v>505</v>
      </c>
      <c r="C483" t="s">
        <v>22</v>
      </c>
      <c r="D483">
        <v>104</v>
      </c>
      <c r="E483" s="16" t="s">
        <v>6</v>
      </c>
      <c r="F483" s="17">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45">
      <c r="B484" t="s">
        <v>506</v>
      </c>
      <c r="C484" t="s">
        <v>12</v>
      </c>
      <c r="D484">
        <v>67</v>
      </c>
      <c r="E484" s="16" t="s">
        <v>11</v>
      </c>
      <c r="F484" s="17">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45">
      <c r="B485" t="s">
        <v>507</v>
      </c>
      <c r="C485" t="s">
        <v>16</v>
      </c>
      <c r="D485">
        <v>107</v>
      </c>
      <c r="E485" s="16" t="s">
        <v>6</v>
      </c>
      <c r="F485" s="17">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45">
      <c r="B486" t="s">
        <v>508</v>
      </c>
      <c r="C486" t="s">
        <v>16</v>
      </c>
      <c r="D486">
        <v>93</v>
      </c>
      <c r="E486" s="16" t="s">
        <v>6</v>
      </c>
      <c r="F486" s="17">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45">
      <c r="B487" t="s">
        <v>509</v>
      </c>
      <c r="C487" t="s">
        <v>16</v>
      </c>
      <c r="D487">
        <v>117</v>
      </c>
      <c r="E487" s="16" t="s">
        <v>11</v>
      </c>
      <c r="F487" s="17">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45">
      <c r="B488" t="s">
        <v>510</v>
      </c>
      <c r="C488" t="s">
        <v>24</v>
      </c>
      <c r="D488">
        <v>76</v>
      </c>
      <c r="E488" s="16" t="s">
        <v>13</v>
      </c>
      <c r="F488" s="17">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45">
      <c r="B489" t="s">
        <v>511</v>
      </c>
      <c r="C489" t="s">
        <v>18</v>
      </c>
      <c r="D489">
        <v>64</v>
      </c>
      <c r="E489" s="16" t="s">
        <v>6</v>
      </c>
      <c r="F489" s="17">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45">
      <c r="B490" t="s">
        <v>512</v>
      </c>
      <c r="C490" t="s">
        <v>8</v>
      </c>
      <c r="D490">
        <v>33</v>
      </c>
      <c r="E490" s="16" t="s">
        <v>6</v>
      </c>
      <c r="F490" s="17">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45">
      <c r="B491" t="s">
        <v>513</v>
      </c>
      <c r="C491" t="s">
        <v>16</v>
      </c>
      <c r="D491">
        <v>115</v>
      </c>
      <c r="E491" s="16" t="s">
        <v>11</v>
      </c>
      <c r="F491" s="17">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45">
      <c r="B492" t="s">
        <v>514</v>
      </c>
      <c r="C492" t="s">
        <v>21</v>
      </c>
      <c r="D492">
        <v>155</v>
      </c>
      <c r="E492" s="16" t="s">
        <v>13</v>
      </c>
      <c r="F492" s="17">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45">
      <c r="B493" t="s">
        <v>515</v>
      </c>
      <c r="C493" t="s">
        <v>12</v>
      </c>
      <c r="D493">
        <v>117</v>
      </c>
      <c r="E493" s="16" t="s">
        <v>13</v>
      </c>
      <c r="F493" s="17">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45">
      <c r="B494" t="s">
        <v>516</v>
      </c>
      <c r="C494" t="s">
        <v>5</v>
      </c>
      <c r="D494">
        <v>63</v>
      </c>
      <c r="E494" s="16" t="s">
        <v>13</v>
      </c>
      <c r="F494" s="17">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45">
      <c r="B495" t="s">
        <v>517</v>
      </c>
      <c r="C495" t="s">
        <v>18</v>
      </c>
      <c r="D495">
        <v>59</v>
      </c>
      <c r="E495" s="16" t="s">
        <v>10</v>
      </c>
      <c r="F495" s="17">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45">
      <c r="B496" t="s">
        <v>518</v>
      </c>
      <c r="C496" t="s">
        <v>7</v>
      </c>
      <c r="D496">
        <v>133</v>
      </c>
      <c r="E496" s="16" t="s">
        <v>6</v>
      </c>
      <c r="F496" s="17">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45">
      <c r="B497" t="s">
        <v>519</v>
      </c>
      <c r="C497" t="s">
        <v>17</v>
      </c>
      <c r="D497">
        <v>101</v>
      </c>
      <c r="E497" s="16" t="s">
        <v>9</v>
      </c>
      <c r="F497" s="17">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45">
      <c r="B498" t="s">
        <v>520</v>
      </c>
      <c r="C498" t="s">
        <v>14</v>
      </c>
      <c r="D498">
        <v>151</v>
      </c>
      <c r="E498" s="16" t="s">
        <v>13</v>
      </c>
      <c r="F498" s="17">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45">
      <c r="B499" t="s">
        <v>521</v>
      </c>
      <c r="C499" t="s">
        <v>8</v>
      </c>
      <c r="D499">
        <v>146</v>
      </c>
      <c r="E499" s="16" t="s">
        <v>6</v>
      </c>
      <c r="F499" s="17">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45">
      <c r="B500" t="s">
        <v>522</v>
      </c>
      <c r="C500" t="s">
        <v>5</v>
      </c>
      <c r="D500">
        <v>148</v>
      </c>
      <c r="E500" s="16" t="s">
        <v>6</v>
      </c>
      <c r="F500" s="17">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45">
      <c r="B501" t="s">
        <v>523</v>
      </c>
      <c r="C501" t="s">
        <v>14</v>
      </c>
      <c r="D501">
        <v>81</v>
      </c>
      <c r="E501" s="16" t="s">
        <v>6</v>
      </c>
      <c r="F501" s="17">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45">
      <c r="B502" t="s">
        <v>524</v>
      </c>
      <c r="C502" t="s">
        <v>22</v>
      </c>
      <c r="D502">
        <v>115</v>
      </c>
      <c r="E502" s="16" t="s">
        <v>6</v>
      </c>
      <c r="F502" s="17">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45">
      <c r="B503" t="s">
        <v>525</v>
      </c>
      <c r="C503" t="s">
        <v>22</v>
      </c>
      <c r="D503">
        <v>117</v>
      </c>
      <c r="E503" s="16" t="s">
        <v>13</v>
      </c>
      <c r="F503" s="17">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45">
      <c r="B504" t="s">
        <v>526</v>
      </c>
      <c r="C504" t="s">
        <v>17</v>
      </c>
      <c r="D504">
        <v>110</v>
      </c>
      <c r="E504" s="16" t="s">
        <v>11</v>
      </c>
      <c r="F504" s="17">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45">
      <c r="B505" t="s">
        <v>527</v>
      </c>
      <c r="C505" t="s">
        <v>24</v>
      </c>
      <c r="D505">
        <v>103</v>
      </c>
      <c r="E505" s="16" t="s">
        <v>10</v>
      </c>
      <c r="F505" s="17">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45">
      <c r="B506" t="s">
        <v>528</v>
      </c>
      <c r="C506" t="s">
        <v>21</v>
      </c>
      <c r="D506">
        <v>45</v>
      </c>
      <c r="E506" s="16" t="s">
        <v>10</v>
      </c>
      <c r="F506" s="17">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45">
      <c r="B507" t="s">
        <v>529</v>
      </c>
      <c r="C507" t="s">
        <v>17</v>
      </c>
      <c r="D507">
        <v>110</v>
      </c>
      <c r="E507" s="16" t="s">
        <v>9</v>
      </c>
      <c r="F507" s="17">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45">
      <c r="B508" t="s">
        <v>530</v>
      </c>
      <c r="C508" t="s">
        <v>18</v>
      </c>
      <c r="D508">
        <v>43</v>
      </c>
      <c r="E508" s="16" t="s">
        <v>11</v>
      </c>
      <c r="F508" s="17">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45">
      <c r="B509" t="s">
        <v>531</v>
      </c>
      <c r="C509" t="s">
        <v>17</v>
      </c>
      <c r="D509">
        <v>104</v>
      </c>
      <c r="E509" s="16" t="s">
        <v>13</v>
      </c>
      <c r="F509" s="17">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45">
      <c r="B510" t="s">
        <v>532</v>
      </c>
      <c r="C510" t="s">
        <v>17</v>
      </c>
      <c r="D510">
        <v>101</v>
      </c>
      <c r="E510" s="16" t="s">
        <v>13</v>
      </c>
      <c r="F510" s="17">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45">
      <c r="B511" t="s">
        <v>533</v>
      </c>
      <c r="C511" t="s">
        <v>20</v>
      </c>
      <c r="D511">
        <v>55</v>
      </c>
      <c r="E511" s="16" t="s">
        <v>11</v>
      </c>
      <c r="F511" s="17">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45">
      <c r="B512" t="s">
        <v>534</v>
      </c>
      <c r="C512" t="s">
        <v>14</v>
      </c>
      <c r="D512">
        <v>40</v>
      </c>
      <c r="E512" s="16" t="s">
        <v>10</v>
      </c>
      <c r="F512" s="17">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45">
      <c r="B513" t="s">
        <v>535</v>
      </c>
      <c r="C513" t="s">
        <v>18</v>
      </c>
      <c r="D513">
        <v>122</v>
      </c>
      <c r="E513" s="16" t="s">
        <v>6</v>
      </c>
      <c r="F513" s="17">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45">
      <c r="B514" t="s">
        <v>536</v>
      </c>
      <c r="C514" t="s">
        <v>8</v>
      </c>
      <c r="D514">
        <v>98</v>
      </c>
      <c r="E514" s="16" t="s">
        <v>13</v>
      </c>
      <c r="F514" s="17">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45">
      <c r="B515" t="s">
        <v>537</v>
      </c>
      <c r="C515" t="s">
        <v>22</v>
      </c>
      <c r="D515">
        <v>110</v>
      </c>
      <c r="E515" s="16" t="s">
        <v>10</v>
      </c>
      <c r="F515" s="17">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45">
      <c r="B516" t="s">
        <v>538</v>
      </c>
      <c r="C516" t="s">
        <v>22</v>
      </c>
      <c r="D516">
        <v>62</v>
      </c>
      <c r="E516" s="16" t="s">
        <v>11</v>
      </c>
      <c r="F516" s="17">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45">
      <c r="B517" t="s">
        <v>539</v>
      </c>
      <c r="C517" t="s">
        <v>18</v>
      </c>
      <c r="D517">
        <v>134</v>
      </c>
      <c r="E517" s="16" t="s">
        <v>6</v>
      </c>
      <c r="F517" s="17">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45">
      <c r="B518" t="s">
        <v>540</v>
      </c>
      <c r="C518" t="s">
        <v>19</v>
      </c>
      <c r="D518">
        <v>94</v>
      </c>
      <c r="E518" s="16" t="s">
        <v>9</v>
      </c>
      <c r="F518" s="17">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45">
      <c r="B519" t="s">
        <v>541</v>
      </c>
      <c r="C519" t="s">
        <v>15</v>
      </c>
      <c r="D519">
        <v>63</v>
      </c>
      <c r="E519" s="16" t="s">
        <v>10</v>
      </c>
      <c r="F519" s="17">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45">
      <c r="B520" t="s">
        <v>542</v>
      </c>
      <c r="C520" t="s">
        <v>7</v>
      </c>
      <c r="D520">
        <v>95</v>
      </c>
      <c r="E520" s="16" t="s">
        <v>6</v>
      </c>
      <c r="F520" s="17">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45">
      <c r="B521" t="s">
        <v>543</v>
      </c>
      <c r="C521" t="s">
        <v>18</v>
      </c>
      <c r="D521">
        <v>106</v>
      </c>
      <c r="E521" s="16" t="s">
        <v>6</v>
      </c>
      <c r="F521" s="17">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45">
      <c r="B522" t="s">
        <v>544</v>
      </c>
      <c r="C522" t="s">
        <v>21</v>
      </c>
      <c r="D522">
        <v>94</v>
      </c>
      <c r="E522" s="16" t="s">
        <v>9</v>
      </c>
      <c r="F522" s="17">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45">
      <c r="B523" t="s">
        <v>545</v>
      </c>
      <c r="C523" t="s">
        <v>21</v>
      </c>
      <c r="D523">
        <v>51</v>
      </c>
      <c r="E523" s="16" t="s">
        <v>9</v>
      </c>
      <c r="F523" s="17">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45">
      <c r="B524" t="s">
        <v>546</v>
      </c>
      <c r="C524" t="s">
        <v>5</v>
      </c>
      <c r="D524">
        <v>39</v>
      </c>
      <c r="E524" s="16" t="s">
        <v>9</v>
      </c>
      <c r="F524" s="17">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45">
      <c r="B525" t="s">
        <v>547</v>
      </c>
      <c r="C525" t="s">
        <v>14</v>
      </c>
      <c r="D525">
        <v>111</v>
      </c>
      <c r="E525" s="16" t="s">
        <v>6</v>
      </c>
      <c r="F525" s="17">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45">
      <c r="B526" t="s">
        <v>548</v>
      </c>
      <c r="C526" t="s">
        <v>16</v>
      </c>
      <c r="D526">
        <v>141</v>
      </c>
      <c r="E526" s="16" t="s">
        <v>11</v>
      </c>
      <c r="F526" s="17">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45">
      <c r="B527" t="s">
        <v>549</v>
      </c>
      <c r="C527" t="s">
        <v>15</v>
      </c>
      <c r="D527">
        <v>147</v>
      </c>
      <c r="E527" s="16" t="s">
        <v>6</v>
      </c>
      <c r="F527" s="17">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45">
      <c r="B528" t="s">
        <v>550</v>
      </c>
      <c r="C528" t="s">
        <v>19</v>
      </c>
      <c r="D528">
        <v>49</v>
      </c>
      <c r="E528" s="16" t="s">
        <v>9</v>
      </c>
      <c r="F528" s="17">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45">
      <c r="B529" t="s">
        <v>551</v>
      </c>
      <c r="C529" t="s">
        <v>23</v>
      </c>
      <c r="D529">
        <v>75</v>
      </c>
      <c r="E529" s="16" t="s">
        <v>6</v>
      </c>
      <c r="F529" s="17">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45">
      <c r="B530" t="s">
        <v>552</v>
      </c>
      <c r="C530" t="s">
        <v>16</v>
      </c>
      <c r="D530">
        <v>48</v>
      </c>
      <c r="E530" s="16" t="s">
        <v>11</v>
      </c>
      <c r="F530" s="17">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45">
      <c r="B531" t="s">
        <v>553</v>
      </c>
      <c r="C531" t="s">
        <v>22</v>
      </c>
      <c r="D531">
        <v>48</v>
      </c>
      <c r="E531" s="16" t="s">
        <v>11</v>
      </c>
      <c r="F531" s="17">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45">
      <c r="B532" t="s">
        <v>554</v>
      </c>
      <c r="C532" t="s">
        <v>12</v>
      </c>
      <c r="D532">
        <v>138</v>
      </c>
      <c r="E532" s="16" t="s">
        <v>9</v>
      </c>
      <c r="F532" s="17">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45">
      <c r="B533" t="s">
        <v>555</v>
      </c>
      <c r="C533" t="s">
        <v>7</v>
      </c>
      <c r="D533">
        <v>144</v>
      </c>
      <c r="E533" s="16" t="s">
        <v>9</v>
      </c>
      <c r="F533" s="17">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45">
      <c r="B534" t="s">
        <v>556</v>
      </c>
      <c r="C534" t="s">
        <v>17</v>
      </c>
      <c r="D534">
        <v>119</v>
      </c>
      <c r="E534" s="16" t="s">
        <v>6</v>
      </c>
      <c r="F534" s="17">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45">
      <c r="B535" t="s">
        <v>557</v>
      </c>
      <c r="C535" t="s">
        <v>12</v>
      </c>
      <c r="D535">
        <v>101</v>
      </c>
      <c r="E535" s="16" t="s">
        <v>11</v>
      </c>
      <c r="F535" s="17">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45">
      <c r="B536" t="s">
        <v>558</v>
      </c>
      <c r="C536" t="s">
        <v>7</v>
      </c>
      <c r="D536">
        <v>59</v>
      </c>
      <c r="E536" s="16" t="s">
        <v>6</v>
      </c>
      <c r="F536" s="17">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45">
      <c r="B537" t="s">
        <v>559</v>
      </c>
      <c r="C537" t="s">
        <v>14</v>
      </c>
      <c r="D537">
        <v>125</v>
      </c>
      <c r="E537" s="16" t="s">
        <v>10</v>
      </c>
      <c r="F537" s="17">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45">
      <c r="B538" t="s">
        <v>560</v>
      </c>
      <c r="C538" t="s">
        <v>18</v>
      </c>
      <c r="D538">
        <v>147</v>
      </c>
      <c r="E538" s="16" t="s">
        <v>6</v>
      </c>
      <c r="F538" s="17">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45">
      <c r="B539" t="s">
        <v>561</v>
      </c>
      <c r="C539" t="s">
        <v>24</v>
      </c>
      <c r="D539">
        <v>76</v>
      </c>
      <c r="E539" s="16" t="s">
        <v>6</v>
      </c>
      <c r="F539" s="17">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45">
      <c r="B540" t="s">
        <v>562</v>
      </c>
      <c r="C540" t="s">
        <v>15</v>
      </c>
      <c r="D540">
        <v>99</v>
      </c>
      <c r="E540" s="16" t="s">
        <v>11</v>
      </c>
      <c r="F540" s="17">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45">
      <c r="B541" t="s">
        <v>563</v>
      </c>
      <c r="C541" t="s">
        <v>5</v>
      </c>
      <c r="D541">
        <v>111</v>
      </c>
      <c r="E541" s="16" t="s">
        <v>13</v>
      </c>
      <c r="F541" s="17">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45">
      <c r="B542" t="s">
        <v>564</v>
      </c>
      <c r="C542" t="s">
        <v>8</v>
      </c>
      <c r="D542">
        <v>147</v>
      </c>
      <c r="E542" s="16" t="s">
        <v>10</v>
      </c>
      <c r="F542" s="17">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45">
      <c r="B543" t="s">
        <v>565</v>
      </c>
      <c r="C543" t="s">
        <v>20</v>
      </c>
      <c r="D543">
        <v>141</v>
      </c>
      <c r="E543" s="16" t="s">
        <v>11</v>
      </c>
      <c r="F543" s="17">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45">
      <c r="B544" t="s">
        <v>566</v>
      </c>
      <c r="C544" t="s">
        <v>24</v>
      </c>
      <c r="D544">
        <v>71</v>
      </c>
      <c r="E544" s="16" t="s">
        <v>6</v>
      </c>
      <c r="F544" s="17">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45">
      <c r="B545" t="s">
        <v>567</v>
      </c>
      <c r="C545" t="s">
        <v>24</v>
      </c>
      <c r="D545">
        <v>121</v>
      </c>
      <c r="E545" s="16" t="s">
        <v>10</v>
      </c>
      <c r="F545" s="17">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45">
      <c r="B546" t="s">
        <v>568</v>
      </c>
      <c r="C546" t="s">
        <v>24</v>
      </c>
      <c r="D546">
        <v>60</v>
      </c>
      <c r="E546" s="16" t="s">
        <v>10</v>
      </c>
      <c r="F546" s="17">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45">
      <c r="B547" t="s">
        <v>569</v>
      </c>
      <c r="C547" t="s">
        <v>19</v>
      </c>
      <c r="D547">
        <v>158</v>
      </c>
      <c r="E547" s="16" t="s">
        <v>11</v>
      </c>
      <c r="F547" s="17">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45">
      <c r="B548" t="s">
        <v>570</v>
      </c>
      <c r="C548" t="s">
        <v>18</v>
      </c>
      <c r="D548">
        <v>159</v>
      </c>
      <c r="E548" s="16" t="s">
        <v>9</v>
      </c>
      <c r="F548" s="17">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45">
      <c r="B549" t="s">
        <v>571</v>
      </c>
      <c r="C549" t="s">
        <v>12</v>
      </c>
      <c r="D549">
        <v>70</v>
      </c>
      <c r="E549" s="16" t="s">
        <v>6</v>
      </c>
      <c r="F549" s="17">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45">
      <c r="B550" t="s">
        <v>572</v>
      </c>
      <c r="C550" t="s">
        <v>16</v>
      </c>
      <c r="D550">
        <v>78</v>
      </c>
      <c r="E550" s="16" t="s">
        <v>13</v>
      </c>
      <c r="F550" s="17">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45">
      <c r="B551" t="s">
        <v>573</v>
      </c>
      <c r="C551" t="s">
        <v>8</v>
      </c>
      <c r="D551">
        <v>103</v>
      </c>
      <c r="E551" s="16" t="s">
        <v>6</v>
      </c>
      <c r="F551" s="17">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45">
      <c r="B552" t="s">
        <v>574</v>
      </c>
      <c r="C552" t="s">
        <v>23</v>
      </c>
      <c r="D552">
        <v>108</v>
      </c>
      <c r="E552" s="16" t="s">
        <v>11</v>
      </c>
      <c r="F552" s="17">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45">
      <c r="B553" t="s">
        <v>575</v>
      </c>
      <c r="C553" t="s">
        <v>23</v>
      </c>
      <c r="D553">
        <v>44</v>
      </c>
      <c r="E553" s="16" t="s">
        <v>10</v>
      </c>
      <c r="F553" s="17">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45">
      <c r="B554" t="s">
        <v>576</v>
      </c>
      <c r="C554" t="s">
        <v>16</v>
      </c>
      <c r="D554">
        <v>127</v>
      </c>
      <c r="E554" s="16" t="s">
        <v>11</v>
      </c>
      <c r="F554" s="17">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45">
      <c r="B555" t="s">
        <v>577</v>
      </c>
      <c r="C555" t="s">
        <v>8</v>
      </c>
      <c r="D555">
        <v>132</v>
      </c>
      <c r="E555" s="16" t="s">
        <v>6</v>
      </c>
      <c r="F555" s="17">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45">
      <c r="B556" t="s">
        <v>578</v>
      </c>
      <c r="C556" t="s">
        <v>20</v>
      </c>
      <c r="D556">
        <v>106</v>
      </c>
      <c r="E556" s="16" t="s">
        <v>13</v>
      </c>
      <c r="F556" s="17">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45">
      <c r="B557" t="s">
        <v>579</v>
      </c>
      <c r="C557" t="s">
        <v>5</v>
      </c>
      <c r="D557">
        <v>107</v>
      </c>
      <c r="E557" s="16" t="s">
        <v>6</v>
      </c>
      <c r="F557" s="17">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45">
      <c r="B558" t="s">
        <v>580</v>
      </c>
      <c r="C558" t="s">
        <v>18</v>
      </c>
      <c r="D558">
        <v>85</v>
      </c>
      <c r="E558" s="16" t="s">
        <v>13</v>
      </c>
      <c r="F558" s="17">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45">
      <c r="B559" t="s">
        <v>581</v>
      </c>
      <c r="C559" t="s">
        <v>15</v>
      </c>
      <c r="D559">
        <v>49</v>
      </c>
      <c r="E559" s="16" t="s">
        <v>6</v>
      </c>
      <c r="F559" s="17">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45">
      <c r="B560" t="s">
        <v>582</v>
      </c>
      <c r="C560" t="s">
        <v>24</v>
      </c>
      <c r="D560">
        <v>117</v>
      </c>
      <c r="E560" s="16" t="s">
        <v>11</v>
      </c>
      <c r="F560" s="17">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45">
      <c r="B561" t="s">
        <v>583</v>
      </c>
      <c r="C561" t="s">
        <v>5</v>
      </c>
      <c r="D561">
        <v>136</v>
      </c>
      <c r="E561" s="16" t="s">
        <v>13</v>
      </c>
      <c r="F561" s="17">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45">
      <c r="B562" t="s">
        <v>584</v>
      </c>
      <c r="C562" t="s">
        <v>23</v>
      </c>
      <c r="D562">
        <v>130</v>
      </c>
      <c r="E562" s="16" t="s">
        <v>9</v>
      </c>
      <c r="F562" s="17">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45">
      <c r="B563" t="s">
        <v>585</v>
      </c>
      <c r="C563" t="s">
        <v>23</v>
      </c>
      <c r="D563">
        <v>73</v>
      </c>
      <c r="E563" s="16" t="s">
        <v>9</v>
      </c>
      <c r="F563" s="17">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45">
      <c r="B564" t="s">
        <v>586</v>
      </c>
      <c r="C564" t="s">
        <v>15</v>
      </c>
      <c r="D564">
        <v>80</v>
      </c>
      <c r="E564" s="16" t="s">
        <v>6</v>
      </c>
      <c r="F564" s="17">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45">
      <c r="B565" t="s">
        <v>587</v>
      </c>
      <c r="C565" t="s">
        <v>17</v>
      </c>
      <c r="D565">
        <v>44</v>
      </c>
      <c r="E565" s="16" t="s">
        <v>11</v>
      </c>
      <c r="F565" s="17">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45">
      <c r="B566" t="s">
        <v>588</v>
      </c>
      <c r="C566" t="s">
        <v>17</v>
      </c>
      <c r="D566">
        <v>102</v>
      </c>
      <c r="E566" s="16" t="s">
        <v>10</v>
      </c>
      <c r="F566" s="17">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45">
      <c r="B567" t="s">
        <v>589</v>
      </c>
      <c r="C567" t="s">
        <v>19</v>
      </c>
      <c r="D567">
        <v>74</v>
      </c>
      <c r="E567" s="16" t="s">
        <v>10</v>
      </c>
      <c r="F567" s="17">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45">
      <c r="B568" t="s">
        <v>590</v>
      </c>
      <c r="C568" t="s">
        <v>15</v>
      </c>
      <c r="D568">
        <v>52</v>
      </c>
      <c r="E568" s="16" t="s">
        <v>11</v>
      </c>
      <c r="F568" s="17">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45">
      <c r="B569" t="s">
        <v>591</v>
      </c>
      <c r="C569" t="s">
        <v>15</v>
      </c>
      <c r="D569">
        <v>74</v>
      </c>
      <c r="E569" s="16" t="s">
        <v>9</v>
      </c>
      <c r="F569" s="17">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45">
      <c r="B570" t="s">
        <v>592</v>
      </c>
      <c r="C570" t="s">
        <v>23</v>
      </c>
      <c r="D570">
        <v>96</v>
      </c>
      <c r="E570" s="16" t="s">
        <v>10</v>
      </c>
      <c r="F570" s="17">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45">
      <c r="B571" t="s">
        <v>593</v>
      </c>
      <c r="C571" t="s">
        <v>14</v>
      </c>
      <c r="D571">
        <v>104</v>
      </c>
      <c r="E571" s="16" t="s">
        <v>6</v>
      </c>
      <c r="F571" s="17">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45">
      <c r="B572" t="s">
        <v>594</v>
      </c>
      <c r="C572" t="s">
        <v>23</v>
      </c>
      <c r="D572">
        <v>123</v>
      </c>
      <c r="E572" s="16" t="s">
        <v>10</v>
      </c>
      <c r="F572" s="17">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45">
      <c r="B573" t="s">
        <v>595</v>
      </c>
      <c r="C573" t="s">
        <v>22</v>
      </c>
      <c r="D573">
        <v>100</v>
      </c>
      <c r="E573" s="16" t="s">
        <v>13</v>
      </c>
      <c r="F573" s="17">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45">
      <c r="B574" t="s">
        <v>596</v>
      </c>
      <c r="C574" t="s">
        <v>14</v>
      </c>
      <c r="D574">
        <v>35</v>
      </c>
      <c r="E574" s="16" t="s">
        <v>11</v>
      </c>
      <c r="F574" s="17">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45">
      <c r="B575" t="s">
        <v>597</v>
      </c>
      <c r="C575" t="s">
        <v>15</v>
      </c>
      <c r="D575">
        <v>123</v>
      </c>
      <c r="E575" s="16" t="s">
        <v>6</v>
      </c>
      <c r="F575" s="17">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45">
      <c r="B576" t="s">
        <v>598</v>
      </c>
      <c r="C576" t="s">
        <v>24</v>
      </c>
      <c r="D576">
        <v>133</v>
      </c>
      <c r="E576" s="16" t="s">
        <v>11</v>
      </c>
      <c r="F576" s="17">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45">
      <c r="B577" t="s">
        <v>599</v>
      </c>
      <c r="C577" t="s">
        <v>23</v>
      </c>
      <c r="D577">
        <v>126</v>
      </c>
      <c r="E577" s="16" t="s">
        <v>9</v>
      </c>
      <c r="F577" s="17">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45">
      <c r="B578" t="s">
        <v>600</v>
      </c>
      <c r="C578" t="s">
        <v>15</v>
      </c>
      <c r="D578">
        <v>39</v>
      </c>
      <c r="E578" s="16" t="s">
        <v>10</v>
      </c>
      <c r="F578" s="17">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45">
      <c r="B579" t="s">
        <v>601</v>
      </c>
      <c r="C579" t="s">
        <v>19</v>
      </c>
      <c r="D579">
        <v>31</v>
      </c>
      <c r="E579" s="16" t="s">
        <v>6</v>
      </c>
      <c r="F579" s="17">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45">
      <c r="B580" t="s">
        <v>602</v>
      </c>
      <c r="C580" t="s">
        <v>8</v>
      </c>
      <c r="D580">
        <v>25</v>
      </c>
      <c r="E580" s="16" t="s">
        <v>11</v>
      </c>
      <c r="F580" s="17">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45">
      <c r="B581" t="s">
        <v>603</v>
      </c>
      <c r="C581" t="s">
        <v>12</v>
      </c>
      <c r="D581">
        <v>132</v>
      </c>
      <c r="E581" s="16" t="s">
        <v>13</v>
      </c>
      <c r="F581" s="17">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45">
      <c r="B582" t="s">
        <v>604</v>
      </c>
      <c r="C582" t="s">
        <v>14</v>
      </c>
      <c r="D582">
        <v>63</v>
      </c>
      <c r="E582" s="16" t="s">
        <v>9</v>
      </c>
      <c r="F582" s="17">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45">
      <c r="B583" t="s">
        <v>605</v>
      </c>
      <c r="C583" t="s">
        <v>22</v>
      </c>
      <c r="D583">
        <v>135</v>
      </c>
      <c r="E583" s="16" t="s">
        <v>13</v>
      </c>
      <c r="F583" s="17">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45">
      <c r="B584" t="s">
        <v>606</v>
      </c>
      <c r="C584" t="s">
        <v>18</v>
      </c>
      <c r="D584">
        <v>101</v>
      </c>
      <c r="E584" s="16" t="s">
        <v>9</v>
      </c>
      <c r="F584" s="17">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45">
      <c r="B585" t="s">
        <v>607</v>
      </c>
      <c r="C585" t="s">
        <v>24</v>
      </c>
      <c r="D585">
        <v>80</v>
      </c>
      <c r="E585" s="16" t="s">
        <v>10</v>
      </c>
      <c r="F585" s="17">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45">
      <c r="B586" t="s">
        <v>608</v>
      </c>
      <c r="C586" t="s">
        <v>17</v>
      </c>
      <c r="D586">
        <v>28</v>
      </c>
      <c r="E586" s="16" t="s">
        <v>10</v>
      </c>
      <c r="F586" s="17">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45">
      <c r="B587" t="s">
        <v>609</v>
      </c>
      <c r="C587" t="s">
        <v>18</v>
      </c>
      <c r="D587">
        <v>102</v>
      </c>
      <c r="E587" s="16" t="s">
        <v>13</v>
      </c>
      <c r="F587" s="17">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45">
      <c r="B588" t="s">
        <v>610</v>
      </c>
      <c r="C588" t="s">
        <v>14</v>
      </c>
      <c r="D588">
        <v>60</v>
      </c>
      <c r="E588" s="16" t="s">
        <v>13</v>
      </c>
      <c r="F588" s="17">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45">
      <c r="B589" t="s">
        <v>611</v>
      </c>
      <c r="C589" t="s">
        <v>21</v>
      </c>
      <c r="D589">
        <v>103</v>
      </c>
      <c r="E589" s="16" t="s">
        <v>13</v>
      </c>
      <c r="F589" s="17">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45">
      <c r="B590" t="s">
        <v>612</v>
      </c>
      <c r="C590" t="s">
        <v>24</v>
      </c>
      <c r="D590">
        <v>90</v>
      </c>
      <c r="E590" s="16" t="s">
        <v>10</v>
      </c>
      <c r="F590" s="17">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45">
      <c r="B591" t="s">
        <v>613</v>
      </c>
      <c r="C591" t="s">
        <v>16</v>
      </c>
      <c r="D591">
        <v>88</v>
      </c>
      <c r="E591" s="16" t="s">
        <v>13</v>
      </c>
      <c r="F591" s="17">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45">
      <c r="B592" t="s">
        <v>614</v>
      </c>
      <c r="C592" t="s">
        <v>21</v>
      </c>
      <c r="D592">
        <v>37</v>
      </c>
      <c r="E592" s="16" t="s">
        <v>13</v>
      </c>
      <c r="F592" s="17">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45">
      <c r="B593" t="s">
        <v>615</v>
      </c>
      <c r="C593" t="s">
        <v>17</v>
      </c>
      <c r="D593">
        <v>142</v>
      </c>
      <c r="E593" s="16" t="s">
        <v>10</v>
      </c>
      <c r="F593" s="17">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45">
      <c r="B594" t="s">
        <v>616</v>
      </c>
      <c r="C594" t="s">
        <v>17</v>
      </c>
      <c r="D594">
        <v>153</v>
      </c>
      <c r="E594" s="16" t="s">
        <v>11</v>
      </c>
      <c r="F594" s="17">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45">
      <c r="B595" t="s">
        <v>617</v>
      </c>
      <c r="C595" t="s">
        <v>7</v>
      </c>
      <c r="D595">
        <v>128</v>
      </c>
      <c r="E595" s="16" t="s">
        <v>9</v>
      </c>
      <c r="F595" s="17">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45">
      <c r="B596" t="s">
        <v>618</v>
      </c>
      <c r="C596" t="s">
        <v>14</v>
      </c>
      <c r="D596">
        <v>110</v>
      </c>
      <c r="E596" s="16" t="s">
        <v>9</v>
      </c>
      <c r="F596" s="17">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45">
      <c r="B597" t="s">
        <v>619</v>
      </c>
      <c r="C597" t="s">
        <v>7</v>
      </c>
      <c r="D597">
        <v>139</v>
      </c>
      <c r="E597" s="16" t="s">
        <v>13</v>
      </c>
      <c r="F597" s="17">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45">
      <c r="B598" t="s">
        <v>620</v>
      </c>
      <c r="C598" t="s">
        <v>18</v>
      </c>
      <c r="D598">
        <v>109</v>
      </c>
      <c r="E598" s="16" t="s">
        <v>6</v>
      </c>
      <c r="F598" s="17">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45">
      <c r="B599" t="s">
        <v>621</v>
      </c>
      <c r="C599" t="s">
        <v>12</v>
      </c>
      <c r="D599">
        <v>57</v>
      </c>
      <c r="E599" s="16" t="s">
        <v>10</v>
      </c>
      <c r="F599" s="17">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45">
      <c r="B600" t="s">
        <v>622</v>
      </c>
      <c r="C600" t="s">
        <v>18</v>
      </c>
      <c r="D600">
        <v>68</v>
      </c>
      <c r="E600" s="16" t="s">
        <v>13</v>
      </c>
      <c r="F600" s="17">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45">
      <c r="B601" t="s">
        <v>623</v>
      </c>
      <c r="C601" t="s">
        <v>8</v>
      </c>
      <c r="D601">
        <v>128</v>
      </c>
      <c r="E601" s="16" t="s">
        <v>13</v>
      </c>
      <c r="F601" s="17">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45">
      <c r="B602" t="s">
        <v>624</v>
      </c>
      <c r="C602" t="s">
        <v>20</v>
      </c>
      <c r="D602">
        <v>102</v>
      </c>
      <c r="E602" s="16" t="s">
        <v>10</v>
      </c>
      <c r="F602" s="17">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45">
      <c r="B603" t="s">
        <v>625</v>
      </c>
      <c r="C603" t="s">
        <v>7</v>
      </c>
      <c r="D603">
        <v>52</v>
      </c>
      <c r="E603" s="16" t="s">
        <v>11</v>
      </c>
      <c r="F603" s="17">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45">
      <c r="B604" t="s">
        <v>626</v>
      </c>
      <c r="C604" t="s">
        <v>8</v>
      </c>
      <c r="D604">
        <v>55</v>
      </c>
      <c r="E604" s="16" t="s">
        <v>9</v>
      </c>
      <c r="F604" s="17">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45">
      <c r="B605" t="s">
        <v>627</v>
      </c>
      <c r="C605" t="s">
        <v>21</v>
      </c>
      <c r="D605">
        <v>107</v>
      </c>
      <c r="E605" s="16" t="s">
        <v>13</v>
      </c>
      <c r="F605" s="17">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45">
      <c r="B606" t="s">
        <v>628</v>
      </c>
      <c r="C606" t="s">
        <v>24</v>
      </c>
      <c r="D606">
        <v>88</v>
      </c>
      <c r="E606" s="16" t="s">
        <v>11</v>
      </c>
      <c r="F606" s="17">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45">
      <c r="B607" t="s">
        <v>629</v>
      </c>
      <c r="C607" t="s">
        <v>15</v>
      </c>
      <c r="D607">
        <v>49</v>
      </c>
      <c r="E607" s="16" t="s">
        <v>11</v>
      </c>
      <c r="F607" s="17">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45">
      <c r="B608" t="s">
        <v>630</v>
      </c>
      <c r="C608" t="s">
        <v>24</v>
      </c>
      <c r="D608">
        <v>72</v>
      </c>
      <c r="E608" s="16" t="s">
        <v>10</v>
      </c>
      <c r="F608" s="17">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45">
      <c r="B609" t="s">
        <v>631</v>
      </c>
      <c r="C609" t="s">
        <v>12</v>
      </c>
      <c r="D609">
        <v>50</v>
      </c>
      <c r="E609" s="16" t="s">
        <v>10</v>
      </c>
      <c r="F609" s="17">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45">
      <c r="B610" t="s">
        <v>632</v>
      </c>
      <c r="C610" t="s">
        <v>24</v>
      </c>
      <c r="D610">
        <v>52</v>
      </c>
      <c r="E610" s="16" t="s">
        <v>13</v>
      </c>
      <c r="F610" s="17">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45">
      <c r="B611" t="s">
        <v>633</v>
      </c>
      <c r="C611" t="s">
        <v>23</v>
      </c>
      <c r="D611">
        <v>85</v>
      </c>
      <c r="E611" s="16" t="s">
        <v>6</v>
      </c>
      <c r="F611" s="17">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45">
      <c r="B612" t="s">
        <v>634</v>
      </c>
      <c r="C612" t="s">
        <v>22</v>
      </c>
      <c r="D612">
        <v>98</v>
      </c>
      <c r="E612" s="16" t="s">
        <v>6</v>
      </c>
      <c r="F612" s="17">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45">
      <c r="B613" t="s">
        <v>635</v>
      </c>
      <c r="C613" t="s">
        <v>19</v>
      </c>
      <c r="D613">
        <v>52</v>
      </c>
      <c r="E613" s="16" t="s">
        <v>6</v>
      </c>
      <c r="F613" s="17">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45">
      <c r="B614" t="s">
        <v>636</v>
      </c>
      <c r="C614" t="s">
        <v>8</v>
      </c>
      <c r="D614">
        <v>154</v>
      </c>
      <c r="E614" s="16" t="s">
        <v>11</v>
      </c>
      <c r="F614" s="17">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45">
      <c r="B615" t="s">
        <v>637</v>
      </c>
      <c r="C615" t="s">
        <v>5</v>
      </c>
      <c r="D615">
        <v>131</v>
      </c>
      <c r="E615" s="16" t="s">
        <v>9</v>
      </c>
      <c r="F615" s="17">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45">
      <c r="B616" t="s">
        <v>638</v>
      </c>
      <c r="C616" t="s">
        <v>23</v>
      </c>
      <c r="D616">
        <v>73</v>
      </c>
      <c r="E616" s="16" t="s">
        <v>9</v>
      </c>
      <c r="F616" s="17">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45">
      <c r="B617" t="s">
        <v>639</v>
      </c>
      <c r="C617" t="s">
        <v>14</v>
      </c>
      <c r="D617">
        <v>45</v>
      </c>
      <c r="E617" s="16" t="s">
        <v>6</v>
      </c>
      <c r="F617" s="17">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45">
      <c r="B618" t="s">
        <v>640</v>
      </c>
      <c r="C618" t="s">
        <v>7</v>
      </c>
      <c r="D618">
        <v>114</v>
      </c>
      <c r="E618" s="16" t="s">
        <v>13</v>
      </c>
      <c r="F618" s="17">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45">
      <c r="B619" t="s">
        <v>641</v>
      </c>
      <c r="C619" t="s">
        <v>22</v>
      </c>
      <c r="D619">
        <v>69</v>
      </c>
      <c r="E619" s="16" t="s">
        <v>9</v>
      </c>
      <c r="F619" s="17">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45">
      <c r="B620" t="s">
        <v>642</v>
      </c>
      <c r="C620" t="s">
        <v>5</v>
      </c>
      <c r="D620">
        <v>33</v>
      </c>
      <c r="E620" s="16" t="s">
        <v>11</v>
      </c>
      <c r="F620" s="17">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45">
      <c r="B621" t="s">
        <v>643</v>
      </c>
      <c r="C621" t="s">
        <v>12</v>
      </c>
      <c r="D621">
        <v>31</v>
      </c>
      <c r="E621" s="16" t="s">
        <v>10</v>
      </c>
      <c r="F621" s="17">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45">
      <c r="B622" t="s">
        <v>644</v>
      </c>
      <c r="C622" t="s">
        <v>14</v>
      </c>
      <c r="D622">
        <v>168</v>
      </c>
      <c r="E622" s="16" t="s">
        <v>11</v>
      </c>
      <c r="F622" s="17">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45">
      <c r="B623" t="s">
        <v>645</v>
      </c>
      <c r="C623" t="s">
        <v>23</v>
      </c>
      <c r="D623">
        <v>111</v>
      </c>
      <c r="E623" s="16" t="s">
        <v>13</v>
      </c>
      <c r="F623" s="17">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45">
      <c r="B624" t="s">
        <v>646</v>
      </c>
      <c r="C624" t="s">
        <v>12</v>
      </c>
      <c r="D624">
        <v>80</v>
      </c>
      <c r="E624" s="16" t="s">
        <v>11</v>
      </c>
      <c r="F624" s="17">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45">
      <c r="B625" t="s">
        <v>647</v>
      </c>
      <c r="C625" t="s">
        <v>20</v>
      </c>
      <c r="D625">
        <v>37</v>
      </c>
      <c r="E625" s="16" t="s">
        <v>11</v>
      </c>
      <c r="F625" s="17">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45">
      <c r="B626" t="s">
        <v>648</v>
      </c>
      <c r="C626" t="s">
        <v>17</v>
      </c>
      <c r="D626">
        <v>137</v>
      </c>
      <c r="E626" s="16" t="s">
        <v>11</v>
      </c>
      <c r="F626" s="17">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45">
      <c r="B627" t="s">
        <v>649</v>
      </c>
      <c r="C627" t="s">
        <v>22</v>
      </c>
      <c r="D627">
        <v>123</v>
      </c>
      <c r="E627" s="16" t="s">
        <v>13</v>
      </c>
      <c r="F627" s="17">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45">
      <c r="B628" t="s">
        <v>650</v>
      </c>
      <c r="C628" t="s">
        <v>16</v>
      </c>
      <c r="D628">
        <v>105</v>
      </c>
      <c r="E628" s="16" t="s">
        <v>13</v>
      </c>
      <c r="F628" s="17">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45">
      <c r="B629" t="s">
        <v>651</v>
      </c>
      <c r="C629" t="s">
        <v>20</v>
      </c>
      <c r="D629">
        <v>76</v>
      </c>
      <c r="E629" s="16" t="s">
        <v>6</v>
      </c>
      <c r="F629" s="17">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45">
      <c r="B630" t="s">
        <v>652</v>
      </c>
      <c r="C630" t="s">
        <v>12</v>
      </c>
      <c r="D630">
        <v>144</v>
      </c>
      <c r="E630" s="16" t="s">
        <v>6</v>
      </c>
      <c r="F630" s="17">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45">
      <c r="B631" t="s">
        <v>653</v>
      </c>
      <c r="C631" t="s">
        <v>5</v>
      </c>
      <c r="D631">
        <v>109</v>
      </c>
      <c r="E631" s="16" t="s">
        <v>10</v>
      </c>
      <c r="F631" s="17">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45">
      <c r="B632" t="s">
        <v>654</v>
      </c>
      <c r="C632" t="s">
        <v>22</v>
      </c>
      <c r="D632">
        <v>172</v>
      </c>
      <c r="E632" s="16" t="s">
        <v>11</v>
      </c>
      <c r="F632" s="17">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45">
      <c r="B633" t="s">
        <v>655</v>
      </c>
      <c r="C633" t="s">
        <v>12</v>
      </c>
      <c r="D633">
        <v>56</v>
      </c>
      <c r="E633" s="16" t="s">
        <v>13</v>
      </c>
      <c r="F633" s="17">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45">
      <c r="B634" t="s">
        <v>656</v>
      </c>
      <c r="C634" t="s">
        <v>12</v>
      </c>
      <c r="D634">
        <v>121</v>
      </c>
      <c r="E634" s="16" t="s">
        <v>9</v>
      </c>
      <c r="F634" s="17">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45">
      <c r="B635" t="s">
        <v>657</v>
      </c>
      <c r="C635" t="s">
        <v>22</v>
      </c>
      <c r="D635">
        <v>41</v>
      </c>
      <c r="E635" s="16" t="s">
        <v>13</v>
      </c>
      <c r="F635" s="17">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45">
      <c r="B636" t="s">
        <v>658</v>
      </c>
      <c r="C636" t="s">
        <v>21</v>
      </c>
      <c r="D636">
        <v>60</v>
      </c>
      <c r="E636" s="16" t="s">
        <v>11</v>
      </c>
      <c r="F636" s="17">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45">
      <c r="B637" t="s">
        <v>659</v>
      </c>
      <c r="C637" t="s">
        <v>21</v>
      </c>
      <c r="D637">
        <v>144</v>
      </c>
      <c r="E637" s="16" t="s">
        <v>11</v>
      </c>
      <c r="F637" s="17">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45">
      <c r="B638" t="s">
        <v>660</v>
      </c>
      <c r="C638" t="s">
        <v>8</v>
      </c>
      <c r="D638">
        <v>67</v>
      </c>
      <c r="E638" s="16" t="s">
        <v>11</v>
      </c>
      <c r="F638" s="17">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45">
      <c r="B639" t="s">
        <v>661</v>
      </c>
      <c r="C639" t="s">
        <v>22</v>
      </c>
      <c r="D639">
        <v>162</v>
      </c>
      <c r="E639" s="16" t="s">
        <v>10</v>
      </c>
      <c r="F639" s="17">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45">
      <c r="B640" t="s">
        <v>662</v>
      </c>
      <c r="C640" t="s">
        <v>21</v>
      </c>
      <c r="D640">
        <v>87</v>
      </c>
      <c r="E640" s="16" t="s">
        <v>9</v>
      </c>
      <c r="F640" s="17">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45">
      <c r="B641" t="s">
        <v>663</v>
      </c>
      <c r="C641" t="s">
        <v>19</v>
      </c>
      <c r="D641">
        <v>10</v>
      </c>
      <c r="E641" s="16" t="s">
        <v>6</v>
      </c>
      <c r="F641" s="17">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45">
      <c r="B642" t="s">
        <v>664</v>
      </c>
      <c r="C642" t="s">
        <v>12</v>
      </c>
      <c r="D642">
        <v>138</v>
      </c>
      <c r="E642" s="16" t="s">
        <v>6</v>
      </c>
      <c r="F642" s="17">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45">
      <c r="B643" t="s">
        <v>665</v>
      </c>
      <c r="C643" t="s">
        <v>22</v>
      </c>
      <c r="D643">
        <v>31</v>
      </c>
      <c r="E643" s="16" t="s">
        <v>6</v>
      </c>
      <c r="F643" s="17">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45">
      <c r="B644" t="s">
        <v>666</v>
      </c>
      <c r="C644" t="s">
        <v>16</v>
      </c>
      <c r="D644">
        <v>75</v>
      </c>
      <c r="E644" s="16" t="s">
        <v>10</v>
      </c>
      <c r="F644" s="17">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45">
      <c r="B645" t="s">
        <v>667</v>
      </c>
      <c r="C645" t="s">
        <v>20</v>
      </c>
      <c r="D645">
        <v>65</v>
      </c>
      <c r="E645" s="16" t="s">
        <v>10</v>
      </c>
      <c r="F645" s="17">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45">
      <c r="B646" t="s">
        <v>668</v>
      </c>
      <c r="C646" t="s">
        <v>23</v>
      </c>
      <c r="D646">
        <v>106</v>
      </c>
      <c r="E646" s="16" t="s">
        <v>13</v>
      </c>
      <c r="F646" s="17">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45">
      <c r="B647" t="s">
        <v>669</v>
      </c>
      <c r="C647" t="s">
        <v>20</v>
      </c>
      <c r="D647">
        <v>107</v>
      </c>
      <c r="E647" s="16" t="s">
        <v>13</v>
      </c>
      <c r="F647" s="17">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45">
      <c r="B648" t="s">
        <v>670</v>
      </c>
      <c r="C648" t="s">
        <v>17</v>
      </c>
      <c r="D648">
        <v>78</v>
      </c>
      <c r="E648" s="16" t="s">
        <v>13</v>
      </c>
      <c r="F648" s="17">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45">
      <c r="B649" t="s">
        <v>671</v>
      </c>
      <c r="C649" t="s">
        <v>24</v>
      </c>
      <c r="D649">
        <v>122</v>
      </c>
      <c r="E649" s="16" t="s">
        <v>13</v>
      </c>
      <c r="F649" s="17">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45">
      <c r="B650" t="s">
        <v>672</v>
      </c>
      <c r="C650" t="s">
        <v>12</v>
      </c>
      <c r="D650">
        <v>58</v>
      </c>
      <c r="E650" s="16" t="s">
        <v>6</v>
      </c>
      <c r="F650" s="17">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45">
      <c r="B651" t="s">
        <v>673</v>
      </c>
      <c r="C651" t="s">
        <v>17</v>
      </c>
      <c r="D651">
        <v>33</v>
      </c>
      <c r="E651" s="16" t="s">
        <v>11</v>
      </c>
      <c r="F651" s="17">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45">
      <c r="B652" t="s">
        <v>674</v>
      </c>
      <c r="C652" t="s">
        <v>5</v>
      </c>
      <c r="D652">
        <v>164</v>
      </c>
      <c r="E652" s="16" t="s">
        <v>10</v>
      </c>
      <c r="F652" s="17">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45">
      <c r="B653" t="s">
        <v>675</v>
      </c>
      <c r="C653" t="s">
        <v>16</v>
      </c>
      <c r="D653">
        <v>163</v>
      </c>
      <c r="E653" s="16" t="s">
        <v>9</v>
      </c>
      <c r="F653" s="17">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45">
      <c r="B654" t="s">
        <v>676</v>
      </c>
      <c r="C654" t="s">
        <v>15</v>
      </c>
      <c r="D654">
        <v>71</v>
      </c>
      <c r="E654" s="16" t="s">
        <v>10</v>
      </c>
      <c r="F654" s="17">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45">
      <c r="B655" t="s">
        <v>677</v>
      </c>
      <c r="C655" t="s">
        <v>17</v>
      </c>
      <c r="D655">
        <v>103</v>
      </c>
      <c r="E655" s="16" t="s">
        <v>6</v>
      </c>
      <c r="F655" s="17">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45">
      <c r="B656" t="s">
        <v>678</v>
      </c>
      <c r="C656" t="s">
        <v>7</v>
      </c>
      <c r="D656">
        <v>69</v>
      </c>
      <c r="E656" s="16" t="s">
        <v>9</v>
      </c>
      <c r="F656" s="17">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45">
      <c r="B657" t="s">
        <v>679</v>
      </c>
      <c r="C657" t="s">
        <v>16</v>
      </c>
      <c r="D657">
        <v>111</v>
      </c>
      <c r="E657" s="16" t="s">
        <v>6</v>
      </c>
      <c r="F657" s="17">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45">
      <c r="B658" t="s">
        <v>680</v>
      </c>
      <c r="C658" t="s">
        <v>18</v>
      </c>
      <c r="D658">
        <v>97</v>
      </c>
      <c r="E658" s="16" t="s">
        <v>9</v>
      </c>
      <c r="F658" s="17">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45">
      <c r="B659" t="s">
        <v>681</v>
      </c>
      <c r="C659" t="s">
        <v>14</v>
      </c>
      <c r="D659">
        <v>144</v>
      </c>
      <c r="E659" s="16" t="s">
        <v>13</v>
      </c>
      <c r="F659" s="17">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45">
      <c r="B660" t="s">
        <v>682</v>
      </c>
      <c r="C660" t="s">
        <v>23</v>
      </c>
      <c r="D660">
        <v>56</v>
      </c>
      <c r="E660" s="16" t="s">
        <v>9</v>
      </c>
      <c r="F660" s="17">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45">
      <c r="B661" t="s">
        <v>683</v>
      </c>
      <c r="C661" t="s">
        <v>14</v>
      </c>
      <c r="D661">
        <v>132</v>
      </c>
      <c r="E661" s="16" t="s">
        <v>13</v>
      </c>
      <c r="F661" s="17">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45">
      <c r="B662" t="s">
        <v>684</v>
      </c>
      <c r="C662" t="s">
        <v>15</v>
      </c>
      <c r="D662">
        <v>72</v>
      </c>
      <c r="E662" s="16" t="s">
        <v>11</v>
      </c>
      <c r="F662" s="17">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45">
      <c r="B663" t="s">
        <v>685</v>
      </c>
      <c r="C663" t="s">
        <v>16</v>
      </c>
      <c r="D663">
        <v>18</v>
      </c>
      <c r="E663" s="16" t="s">
        <v>11</v>
      </c>
      <c r="F663" s="17">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45">
      <c r="B664" t="s">
        <v>686</v>
      </c>
      <c r="C664" t="s">
        <v>8</v>
      </c>
      <c r="D664">
        <v>115</v>
      </c>
      <c r="E664" s="16" t="s">
        <v>6</v>
      </c>
      <c r="F664" s="17">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45">
      <c r="B665" t="s">
        <v>687</v>
      </c>
      <c r="C665" t="s">
        <v>8</v>
      </c>
      <c r="D665">
        <v>124</v>
      </c>
      <c r="E665" s="16" t="s">
        <v>9</v>
      </c>
      <c r="F665" s="17">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45">
      <c r="B666" t="s">
        <v>688</v>
      </c>
      <c r="C666" t="s">
        <v>12</v>
      </c>
      <c r="D666">
        <v>130</v>
      </c>
      <c r="E666" s="16" t="s">
        <v>9</v>
      </c>
      <c r="F666" s="17">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45">
      <c r="B667" t="s">
        <v>689</v>
      </c>
      <c r="C667" t="s">
        <v>19</v>
      </c>
      <c r="D667">
        <v>120</v>
      </c>
      <c r="E667" s="16" t="s">
        <v>10</v>
      </c>
      <c r="F667" s="17">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45">
      <c r="B668" t="s">
        <v>690</v>
      </c>
      <c r="C668" t="s">
        <v>18</v>
      </c>
      <c r="D668">
        <v>75</v>
      </c>
      <c r="E668" s="16" t="s">
        <v>6</v>
      </c>
      <c r="F668" s="17">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45">
      <c r="B669" t="s">
        <v>691</v>
      </c>
      <c r="C669" t="s">
        <v>20</v>
      </c>
      <c r="D669">
        <v>63</v>
      </c>
      <c r="E669" s="16" t="s">
        <v>6</v>
      </c>
      <c r="F669" s="17">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45">
      <c r="B670" t="s">
        <v>692</v>
      </c>
      <c r="C670" t="s">
        <v>14</v>
      </c>
      <c r="D670">
        <v>74</v>
      </c>
      <c r="E670" s="16" t="s">
        <v>6</v>
      </c>
      <c r="F670" s="17">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45">
      <c r="B671" t="s">
        <v>693</v>
      </c>
      <c r="C671" t="s">
        <v>7</v>
      </c>
      <c r="D671">
        <v>134</v>
      </c>
      <c r="E671" s="16" t="s">
        <v>13</v>
      </c>
      <c r="F671" s="17">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45">
      <c r="B672" t="s">
        <v>694</v>
      </c>
      <c r="C672" t="s">
        <v>16</v>
      </c>
      <c r="D672">
        <v>103</v>
      </c>
      <c r="E672" s="16" t="s">
        <v>9</v>
      </c>
      <c r="F672" s="17">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45">
      <c r="B673" t="s">
        <v>695</v>
      </c>
      <c r="C673" t="s">
        <v>16</v>
      </c>
      <c r="D673">
        <v>155</v>
      </c>
      <c r="E673" s="16" t="s">
        <v>10</v>
      </c>
      <c r="F673" s="17">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45">
      <c r="B674" t="s">
        <v>696</v>
      </c>
      <c r="C674" t="s">
        <v>20</v>
      </c>
      <c r="D674">
        <v>128</v>
      </c>
      <c r="E674" s="16" t="s">
        <v>9</v>
      </c>
      <c r="F674" s="17">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45">
      <c r="B675" t="s">
        <v>697</v>
      </c>
      <c r="C675" t="s">
        <v>18</v>
      </c>
      <c r="D675">
        <v>89</v>
      </c>
      <c r="E675" s="16" t="s">
        <v>13</v>
      </c>
      <c r="F675" s="17">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45">
      <c r="B676" t="s">
        <v>698</v>
      </c>
      <c r="C676" t="s">
        <v>8</v>
      </c>
      <c r="D676">
        <v>81</v>
      </c>
      <c r="E676" s="16" t="s">
        <v>10</v>
      </c>
      <c r="F676" s="17">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45">
      <c r="B677" t="s">
        <v>699</v>
      </c>
      <c r="C677" t="s">
        <v>18</v>
      </c>
      <c r="D677">
        <v>66</v>
      </c>
      <c r="E677" s="16" t="s">
        <v>13</v>
      </c>
      <c r="F677" s="17">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45">
      <c r="B678" t="s">
        <v>700</v>
      </c>
      <c r="C678" t="s">
        <v>15</v>
      </c>
      <c r="D678">
        <v>61</v>
      </c>
      <c r="E678" s="16" t="s">
        <v>11</v>
      </c>
      <c r="F678" s="17">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45">
      <c r="B679" t="s">
        <v>701</v>
      </c>
      <c r="C679" t="s">
        <v>8</v>
      </c>
      <c r="D679">
        <v>128</v>
      </c>
      <c r="E679" s="16" t="s">
        <v>11</v>
      </c>
      <c r="F679" s="17">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45">
      <c r="B680" t="s">
        <v>702</v>
      </c>
      <c r="C680" t="s">
        <v>16</v>
      </c>
      <c r="D680">
        <v>30</v>
      </c>
      <c r="E680" s="16" t="s">
        <v>10</v>
      </c>
      <c r="F680" s="17">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45">
      <c r="B681" t="s">
        <v>703</v>
      </c>
      <c r="C681" t="s">
        <v>5</v>
      </c>
      <c r="D681">
        <v>63</v>
      </c>
      <c r="E681" s="16" t="s">
        <v>11</v>
      </c>
      <c r="F681" s="17">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45">
      <c r="B682" t="s">
        <v>704</v>
      </c>
      <c r="C682" t="s">
        <v>24</v>
      </c>
      <c r="D682">
        <v>64</v>
      </c>
      <c r="E682" s="16" t="s">
        <v>6</v>
      </c>
      <c r="F682" s="17">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45">
      <c r="B683" t="s">
        <v>705</v>
      </c>
      <c r="C683" t="s">
        <v>21</v>
      </c>
      <c r="D683">
        <v>151</v>
      </c>
      <c r="E683" s="16" t="s">
        <v>9</v>
      </c>
      <c r="F683" s="17">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45">
      <c r="B684" t="s">
        <v>706</v>
      </c>
      <c r="C684" t="s">
        <v>17</v>
      </c>
      <c r="D684">
        <v>116</v>
      </c>
      <c r="E684" s="16" t="s">
        <v>13</v>
      </c>
      <c r="F684" s="17">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45">
      <c r="B685" t="s">
        <v>707</v>
      </c>
      <c r="C685" t="s">
        <v>21</v>
      </c>
      <c r="D685">
        <v>111</v>
      </c>
      <c r="E685" s="16" t="s">
        <v>13</v>
      </c>
      <c r="F685" s="17">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45">
      <c r="B686" t="s">
        <v>708</v>
      </c>
      <c r="C686" t="s">
        <v>8</v>
      </c>
      <c r="D686">
        <v>15</v>
      </c>
      <c r="E686" s="16" t="s">
        <v>13</v>
      </c>
      <c r="F686" s="17">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45">
      <c r="B687" t="s">
        <v>709</v>
      </c>
      <c r="C687" t="s">
        <v>24</v>
      </c>
      <c r="D687">
        <v>18</v>
      </c>
      <c r="E687" s="16" t="s">
        <v>9</v>
      </c>
      <c r="F687" s="17">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45">
      <c r="B688" t="s">
        <v>710</v>
      </c>
      <c r="C688" t="s">
        <v>15</v>
      </c>
      <c r="D688">
        <v>146</v>
      </c>
      <c r="E688" s="16" t="s">
        <v>11</v>
      </c>
      <c r="F688" s="17">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45">
      <c r="B689" t="s">
        <v>711</v>
      </c>
      <c r="C689" t="s">
        <v>16</v>
      </c>
      <c r="D689">
        <v>73</v>
      </c>
      <c r="E689" s="16" t="s">
        <v>13</v>
      </c>
      <c r="F689" s="17">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45">
      <c r="B690" t="s">
        <v>712</v>
      </c>
      <c r="C690" t="s">
        <v>21</v>
      </c>
      <c r="D690">
        <v>108</v>
      </c>
      <c r="E690" s="16" t="s">
        <v>9</v>
      </c>
      <c r="F690" s="17">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45">
      <c r="B691" t="s">
        <v>713</v>
      </c>
      <c r="C691" t="s">
        <v>7</v>
      </c>
      <c r="D691">
        <v>52</v>
      </c>
      <c r="E691" s="16" t="s">
        <v>9</v>
      </c>
      <c r="F691" s="17">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45">
      <c r="B692" t="s">
        <v>714</v>
      </c>
      <c r="C692" t="s">
        <v>17</v>
      </c>
      <c r="D692">
        <v>165</v>
      </c>
      <c r="E692" s="16" t="s">
        <v>6</v>
      </c>
      <c r="F692" s="17">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45">
      <c r="B693" t="s">
        <v>715</v>
      </c>
      <c r="C693" t="s">
        <v>15</v>
      </c>
      <c r="D693">
        <v>104</v>
      </c>
      <c r="E693" s="16" t="s">
        <v>13</v>
      </c>
      <c r="F693" s="17">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45">
      <c r="B694" t="s">
        <v>716</v>
      </c>
      <c r="C694" t="s">
        <v>16</v>
      </c>
      <c r="D694">
        <v>131</v>
      </c>
      <c r="E694" s="16" t="s">
        <v>11</v>
      </c>
      <c r="F694" s="17">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45">
      <c r="B695" t="s">
        <v>717</v>
      </c>
      <c r="C695" t="s">
        <v>19</v>
      </c>
      <c r="D695">
        <v>80</v>
      </c>
      <c r="E695" s="16" t="s">
        <v>6</v>
      </c>
      <c r="F695" s="17">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45">
      <c r="B696" t="s">
        <v>718</v>
      </c>
      <c r="C696" t="s">
        <v>8</v>
      </c>
      <c r="D696">
        <v>49</v>
      </c>
      <c r="E696" s="16" t="s">
        <v>13</v>
      </c>
      <c r="F696" s="17">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45">
      <c r="B697" t="s">
        <v>719</v>
      </c>
      <c r="C697" t="s">
        <v>17</v>
      </c>
      <c r="D697">
        <v>73</v>
      </c>
      <c r="E697" s="16" t="s">
        <v>13</v>
      </c>
      <c r="F697" s="17">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45">
      <c r="B698" t="s">
        <v>720</v>
      </c>
      <c r="C698" t="s">
        <v>15</v>
      </c>
      <c r="D698">
        <v>117</v>
      </c>
      <c r="E698" s="16" t="s">
        <v>6</v>
      </c>
      <c r="F698" s="17">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45">
      <c r="B699" t="s">
        <v>721</v>
      </c>
      <c r="C699" t="s">
        <v>23</v>
      </c>
      <c r="D699">
        <v>38</v>
      </c>
      <c r="E699" s="16" t="s">
        <v>10</v>
      </c>
      <c r="F699" s="17">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45">
      <c r="B700" t="s">
        <v>722</v>
      </c>
      <c r="C700" t="s">
        <v>7</v>
      </c>
      <c r="D700">
        <v>109</v>
      </c>
      <c r="E700" s="16" t="s">
        <v>6</v>
      </c>
      <c r="F700" s="17">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45">
      <c r="B701" t="s">
        <v>723</v>
      </c>
      <c r="C701" t="s">
        <v>8</v>
      </c>
      <c r="D701">
        <v>70</v>
      </c>
      <c r="E701" s="16" t="s">
        <v>9</v>
      </c>
      <c r="F701" s="17">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45">
      <c r="B702" t="s">
        <v>724</v>
      </c>
      <c r="C702" t="s">
        <v>12</v>
      </c>
      <c r="D702">
        <v>51</v>
      </c>
      <c r="E702" s="16" t="s">
        <v>10</v>
      </c>
      <c r="F702" s="17">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45">
      <c r="B703" t="s">
        <v>725</v>
      </c>
      <c r="C703" t="s">
        <v>12</v>
      </c>
      <c r="D703">
        <v>100</v>
      </c>
      <c r="E703" s="16" t="s">
        <v>9</v>
      </c>
      <c r="F703" s="17">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45">
      <c r="B704" t="s">
        <v>726</v>
      </c>
      <c r="C704" t="s">
        <v>14</v>
      </c>
      <c r="D704">
        <v>124</v>
      </c>
      <c r="E704" s="16" t="s">
        <v>10</v>
      </c>
      <c r="F704" s="17">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45">
      <c r="B705" t="s">
        <v>727</v>
      </c>
      <c r="C705" t="s">
        <v>20</v>
      </c>
      <c r="D705">
        <v>143</v>
      </c>
      <c r="E705" s="16" t="s">
        <v>6</v>
      </c>
      <c r="F705" s="17">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45">
      <c r="B706" t="s">
        <v>728</v>
      </c>
      <c r="C706" t="s">
        <v>18</v>
      </c>
      <c r="D706">
        <v>96</v>
      </c>
      <c r="E706" s="16" t="s">
        <v>13</v>
      </c>
      <c r="F706" s="17">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45">
      <c r="B707" t="s">
        <v>729</v>
      </c>
      <c r="C707" t="s">
        <v>17</v>
      </c>
      <c r="D707">
        <v>84</v>
      </c>
      <c r="E707" s="16" t="s">
        <v>9</v>
      </c>
      <c r="F707" s="17">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45">
      <c r="B708" t="s">
        <v>730</v>
      </c>
      <c r="C708" t="s">
        <v>22</v>
      </c>
      <c r="D708">
        <v>111</v>
      </c>
      <c r="E708" s="16" t="s">
        <v>9</v>
      </c>
      <c r="F708" s="17">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45">
      <c r="B709" t="s">
        <v>731</v>
      </c>
      <c r="C709" t="s">
        <v>22</v>
      </c>
      <c r="D709">
        <v>103</v>
      </c>
      <c r="E709" s="16" t="s">
        <v>10</v>
      </c>
      <c r="F709" s="17">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45">
      <c r="B710" t="s">
        <v>732</v>
      </c>
      <c r="C710" t="s">
        <v>20</v>
      </c>
      <c r="D710">
        <v>61</v>
      </c>
      <c r="E710" s="16" t="s">
        <v>11</v>
      </c>
      <c r="F710" s="17">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45">
      <c r="B711" t="s">
        <v>733</v>
      </c>
      <c r="C711" t="s">
        <v>16</v>
      </c>
      <c r="D711">
        <v>113</v>
      </c>
      <c r="E711" s="16" t="s">
        <v>13</v>
      </c>
      <c r="F711" s="17">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45">
      <c r="B712" t="s">
        <v>734</v>
      </c>
      <c r="C712" t="s">
        <v>16</v>
      </c>
      <c r="D712">
        <v>96</v>
      </c>
      <c r="E712" s="16" t="s">
        <v>13</v>
      </c>
      <c r="F712" s="17">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45">
      <c r="B713" t="s">
        <v>735</v>
      </c>
      <c r="C713" t="s">
        <v>24</v>
      </c>
      <c r="D713">
        <v>131</v>
      </c>
      <c r="E713" s="16" t="s">
        <v>10</v>
      </c>
      <c r="F713" s="17">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45">
      <c r="B714" t="s">
        <v>736</v>
      </c>
      <c r="C714" t="s">
        <v>15</v>
      </c>
      <c r="D714">
        <v>52</v>
      </c>
      <c r="E714" s="16" t="s">
        <v>13</v>
      </c>
      <c r="F714" s="17">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45">
      <c r="B715" t="s">
        <v>737</v>
      </c>
      <c r="C715" t="s">
        <v>12</v>
      </c>
      <c r="D715">
        <v>100</v>
      </c>
      <c r="E715" s="16" t="s">
        <v>10</v>
      </c>
      <c r="F715" s="17">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45">
      <c r="B716" t="s">
        <v>738</v>
      </c>
      <c r="C716" t="s">
        <v>21</v>
      </c>
      <c r="D716">
        <v>58</v>
      </c>
      <c r="E716" s="16" t="s">
        <v>6</v>
      </c>
      <c r="F716" s="17">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45">
      <c r="B717" t="s">
        <v>739</v>
      </c>
      <c r="C717" t="s">
        <v>8</v>
      </c>
      <c r="D717">
        <v>144</v>
      </c>
      <c r="E717" s="16" t="s">
        <v>6</v>
      </c>
      <c r="F717" s="17">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45">
      <c r="B718" t="s">
        <v>740</v>
      </c>
      <c r="C718" t="s">
        <v>21</v>
      </c>
      <c r="D718">
        <v>53</v>
      </c>
      <c r="E718" s="16" t="s">
        <v>11</v>
      </c>
      <c r="F718" s="17">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45">
      <c r="B719" t="s">
        <v>741</v>
      </c>
      <c r="C719" t="s">
        <v>16</v>
      </c>
      <c r="D719">
        <v>97</v>
      </c>
      <c r="E719" s="16" t="s">
        <v>9</v>
      </c>
      <c r="F719" s="17">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45">
      <c r="B720" t="s">
        <v>742</v>
      </c>
      <c r="C720" t="s">
        <v>23</v>
      </c>
      <c r="D720">
        <v>64</v>
      </c>
      <c r="E720" s="16" t="s">
        <v>6</v>
      </c>
      <c r="F720" s="17">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45">
      <c r="B721" t="s">
        <v>743</v>
      </c>
      <c r="C721" t="s">
        <v>20</v>
      </c>
      <c r="D721">
        <v>106</v>
      </c>
      <c r="E721" s="16" t="s">
        <v>10</v>
      </c>
      <c r="F721" s="17">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45">
      <c r="B722" t="s">
        <v>744</v>
      </c>
      <c r="C722" t="s">
        <v>17</v>
      </c>
      <c r="D722">
        <v>36</v>
      </c>
      <c r="E722" s="16" t="s">
        <v>6</v>
      </c>
      <c r="F722" s="17">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45">
      <c r="B723" t="s">
        <v>745</v>
      </c>
      <c r="C723" t="s">
        <v>8</v>
      </c>
      <c r="D723">
        <v>74</v>
      </c>
      <c r="E723" s="16" t="s">
        <v>13</v>
      </c>
      <c r="F723" s="17">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45">
      <c r="B724" t="s">
        <v>746</v>
      </c>
      <c r="C724" t="s">
        <v>7</v>
      </c>
      <c r="D724">
        <v>143</v>
      </c>
      <c r="E724" s="16" t="s">
        <v>9</v>
      </c>
      <c r="F724" s="17">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45">
      <c r="B725" t="s">
        <v>747</v>
      </c>
      <c r="C725" t="s">
        <v>20</v>
      </c>
      <c r="D725">
        <v>94</v>
      </c>
      <c r="E725" s="16" t="s">
        <v>11</v>
      </c>
      <c r="F725" s="17">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45">
      <c r="B726" t="s">
        <v>748</v>
      </c>
      <c r="C726" t="s">
        <v>19</v>
      </c>
      <c r="D726">
        <v>124</v>
      </c>
      <c r="E726" s="16" t="s">
        <v>10</v>
      </c>
      <c r="F726" s="17">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45">
      <c r="B727" t="s">
        <v>749</v>
      </c>
      <c r="C727" t="s">
        <v>17</v>
      </c>
      <c r="D727">
        <v>156</v>
      </c>
      <c r="E727" s="16" t="s">
        <v>6</v>
      </c>
      <c r="F727" s="17">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45">
      <c r="B728" t="s">
        <v>750</v>
      </c>
      <c r="C728" t="s">
        <v>18</v>
      </c>
      <c r="D728">
        <v>107</v>
      </c>
      <c r="E728" s="16" t="s">
        <v>9</v>
      </c>
      <c r="F728" s="17">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45">
      <c r="B729" t="s">
        <v>751</v>
      </c>
      <c r="C729" t="s">
        <v>20</v>
      </c>
      <c r="D729">
        <v>58</v>
      </c>
      <c r="E729" s="16" t="s">
        <v>9</v>
      </c>
      <c r="F729" s="17">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45">
      <c r="B730" t="s">
        <v>752</v>
      </c>
      <c r="C730" t="s">
        <v>14</v>
      </c>
      <c r="D730">
        <v>66</v>
      </c>
      <c r="E730" s="16" t="s">
        <v>9</v>
      </c>
      <c r="F730" s="17">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45">
      <c r="B731" t="s">
        <v>753</v>
      </c>
      <c r="C731" t="s">
        <v>24</v>
      </c>
      <c r="D731">
        <v>75</v>
      </c>
      <c r="E731" s="16" t="s">
        <v>6</v>
      </c>
      <c r="F731" s="17">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45">
      <c r="B732" t="s">
        <v>754</v>
      </c>
      <c r="C732" t="s">
        <v>18</v>
      </c>
      <c r="D732">
        <v>8</v>
      </c>
      <c r="E732" s="16" t="s">
        <v>9</v>
      </c>
      <c r="F732" s="17">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45">
      <c r="B733" t="s">
        <v>755</v>
      </c>
      <c r="C733" t="s">
        <v>23</v>
      </c>
      <c r="D733">
        <v>76</v>
      </c>
      <c r="E733" s="16" t="s">
        <v>6</v>
      </c>
      <c r="F733" s="17">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45">
      <c r="B734" t="s">
        <v>756</v>
      </c>
      <c r="C734" t="s">
        <v>20</v>
      </c>
      <c r="D734">
        <v>110</v>
      </c>
      <c r="E734" s="16" t="s">
        <v>6</v>
      </c>
      <c r="F734" s="17">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45">
      <c r="B735" t="s">
        <v>757</v>
      </c>
      <c r="C735" t="s">
        <v>14</v>
      </c>
      <c r="D735">
        <v>50</v>
      </c>
      <c r="E735" s="16" t="s">
        <v>11</v>
      </c>
      <c r="F735" s="17">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45">
      <c r="B736" t="s">
        <v>758</v>
      </c>
      <c r="C736" t="s">
        <v>15</v>
      </c>
      <c r="D736">
        <v>78</v>
      </c>
      <c r="E736" s="16" t="s">
        <v>11</v>
      </c>
      <c r="F736" s="17">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45">
      <c r="B737" t="s">
        <v>759</v>
      </c>
      <c r="C737" t="s">
        <v>16</v>
      </c>
      <c r="D737">
        <v>59</v>
      </c>
      <c r="E737" s="16" t="s">
        <v>10</v>
      </c>
      <c r="F737" s="17">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45">
      <c r="B738" t="s">
        <v>760</v>
      </c>
      <c r="C738" t="s">
        <v>15</v>
      </c>
      <c r="D738">
        <v>126</v>
      </c>
      <c r="E738" s="16" t="s">
        <v>9</v>
      </c>
      <c r="F738" s="17">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45">
      <c r="B739" t="s">
        <v>761</v>
      </c>
      <c r="C739" t="s">
        <v>23</v>
      </c>
      <c r="D739">
        <v>43</v>
      </c>
      <c r="E739" s="16" t="s">
        <v>10</v>
      </c>
      <c r="F739" s="17">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45">
      <c r="B740" t="s">
        <v>762</v>
      </c>
      <c r="C740" t="s">
        <v>17</v>
      </c>
      <c r="D740">
        <v>79</v>
      </c>
      <c r="E740" s="16" t="s">
        <v>6</v>
      </c>
      <c r="F740" s="17">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45">
      <c r="B741" t="s">
        <v>763</v>
      </c>
      <c r="C741" t="s">
        <v>20</v>
      </c>
      <c r="D741">
        <v>71</v>
      </c>
      <c r="E741" s="16" t="s">
        <v>10</v>
      </c>
      <c r="F741" s="17">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45">
      <c r="B742" t="s">
        <v>764</v>
      </c>
      <c r="C742" t="s">
        <v>22</v>
      </c>
      <c r="D742">
        <v>94</v>
      </c>
      <c r="E742" s="16" t="s">
        <v>9</v>
      </c>
      <c r="F742" s="17">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45">
      <c r="B743" t="s">
        <v>765</v>
      </c>
      <c r="C743" t="s">
        <v>18</v>
      </c>
      <c r="D743">
        <v>108</v>
      </c>
      <c r="E743" s="16" t="s">
        <v>10</v>
      </c>
      <c r="F743" s="17">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45">
      <c r="B744" t="s">
        <v>766</v>
      </c>
      <c r="C744" t="s">
        <v>23</v>
      </c>
      <c r="D744">
        <v>76</v>
      </c>
      <c r="E744" s="16" t="s">
        <v>9</v>
      </c>
      <c r="F744" s="17">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45">
      <c r="B745" t="s">
        <v>767</v>
      </c>
      <c r="C745" t="s">
        <v>16</v>
      </c>
      <c r="D745">
        <v>136</v>
      </c>
      <c r="E745" s="16" t="s">
        <v>10</v>
      </c>
      <c r="F745" s="17">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45">
      <c r="B746" t="s">
        <v>768</v>
      </c>
      <c r="C746" t="s">
        <v>12</v>
      </c>
      <c r="D746">
        <v>129</v>
      </c>
      <c r="E746" s="16" t="s">
        <v>11</v>
      </c>
      <c r="F746" s="17">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45">
      <c r="B747" t="s">
        <v>769</v>
      </c>
      <c r="C747" t="s">
        <v>18</v>
      </c>
      <c r="D747">
        <v>120</v>
      </c>
      <c r="E747" s="16" t="s">
        <v>10</v>
      </c>
      <c r="F747" s="17">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45">
      <c r="B748" t="s">
        <v>770</v>
      </c>
      <c r="C748" t="s">
        <v>23</v>
      </c>
      <c r="D748">
        <v>108</v>
      </c>
      <c r="E748" s="16" t="s">
        <v>11</v>
      </c>
      <c r="F748" s="17">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45">
      <c r="B749" t="s">
        <v>771</v>
      </c>
      <c r="C749" t="s">
        <v>15</v>
      </c>
      <c r="D749">
        <v>79</v>
      </c>
      <c r="E749" s="16" t="s">
        <v>10</v>
      </c>
      <c r="F749" s="17">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45">
      <c r="B750" t="s">
        <v>772</v>
      </c>
      <c r="C750" t="s">
        <v>15</v>
      </c>
      <c r="D750">
        <v>45</v>
      </c>
      <c r="E750" s="16" t="s">
        <v>11</v>
      </c>
      <c r="F750" s="17">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45">
      <c r="B751" t="s">
        <v>773</v>
      </c>
      <c r="C751" t="s">
        <v>8</v>
      </c>
      <c r="D751">
        <v>96</v>
      </c>
      <c r="E751" s="16" t="s">
        <v>10</v>
      </c>
      <c r="F751" s="17">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45">
      <c r="B752" t="s">
        <v>774</v>
      </c>
      <c r="C752" t="s">
        <v>8</v>
      </c>
      <c r="D752">
        <v>81</v>
      </c>
      <c r="E752" s="16" t="s">
        <v>10</v>
      </c>
      <c r="F752" s="17">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45">
      <c r="B753" t="s">
        <v>775</v>
      </c>
      <c r="C753" t="s">
        <v>16</v>
      </c>
      <c r="D753">
        <v>95</v>
      </c>
      <c r="E753" s="16" t="s">
        <v>13</v>
      </c>
      <c r="F753" s="17">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45">
      <c r="B754" t="s">
        <v>776</v>
      </c>
      <c r="C754" t="s">
        <v>19</v>
      </c>
      <c r="D754">
        <v>159</v>
      </c>
      <c r="E754" s="16" t="s">
        <v>9</v>
      </c>
      <c r="F754" s="17">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45">
      <c r="B755" t="s">
        <v>777</v>
      </c>
      <c r="C755" t="s">
        <v>5</v>
      </c>
      <c r="D755">
        <v>109</v>
      </c>
      <c r="E755" s="16" t="s">
        <v>6</v>
      </c>
      <c r="F755" s="17">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45">
      <c r="B756" t="s">
        <v>778</v>
      </c>
      <c r="C756" t="s">
        <v>15</v>
      </c>
      <c r="D756">
        <v>107</v>
      </c>
      <c r="E756" s="16" t="s">
        <v>6</v>
      </c>
      <c r="F756" s="17">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45">
      <c r="B757" t="s">
        <v>779</v>
      </c>
      <c r="C757" t="s">
        <v>8</v>
      </c>
      <c r="D757">
        <v>67</v>
      </c>
      <c r="E757" s="16" t="s">
        <v>11</v>
      </c>
      <c r="F757" s="17">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45">
      <c r="B758" t="s">
        <v>780</v>
      </c>
      <c r="C758" t="s">
        <v>24</v>
      </c>
      <c r="D758">
        <v>96</v>
      </c>
      <c r="E758" s="16" t="s">
        <v>10</v>
      </c>
      <c r="F758" s="17">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45">
      <c r="B759" t="s">
        <v>781</v>
      </c>
      <c r="C759" t="s">
        <v>7</v>
      </c>
      <c r="D759">
        <v>142</v>
      </c>
      <c r="E759" s="16" t="s">
        <v>9</v>
      </c>
      <c r="F759" s="17">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45">
      <c r="B760" t="s">
        <v>782</v>
      </c>
      <c r="C760" t="s">
        <v>7</v>
      </c>
      <c r="D760">
        <v>71</v>
      </c>
      <c r="E760" s="16" t="s">
        <v>13</v>
      </c>
      <c r="F760" s="17">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45">
      <c r="B761" t="s">
        <v>783</v>
      </c>
      <c r="C761" t="s">
        <v>24</v>
      </c>
      <c r="D761">
        <v>152</v>
      </c>
      <c r="E761" s="16" t="s">
        <v>13</v>
      </c>
      <c r="F761" s="17">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45">
      <c r="B762" t="s">
        <v>784</v>
      </c>
      <c r="C762" t="s">
        <v>17</v>
      </c>
      <c r="D762">
        <v>108</v>
      </c>
      <c r="E762" s="16" t="s">
        <v>9</v>
      </c>
      <c r="F762" s="17">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45">
      <c r="B763" t="s">
        <v>785</v>
      </c>
      <c r="C763" t="s">
        <v>17</v>
      </c>
      <c r="D763">
        <v>156</v>
      </c>
      <c r="E763" s="16" t="s">
        <v>13</v>
      </c>
      <c r="F763" s="17">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45">
      <c r="B764" t="s">
        <v>786</v>
      </c>
      <c r="C764" t="s">
        <v>7</v>
      </c>
      <c r="D764">
        <v>126</v>
      </c>
      <c r="E764" s="16" t="s">
        <v>9</v>
      </c>
      <c r="F764" s="17">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45">
      <c r="B765" t="s">
        <v>787</v>
      </c>
      <c r="C765" t="s">
        <v>23</v>
      </c>
      <c r="D765">
        <v>135</v>
      </c>
      <c r="E765" s="16" t="s">
        <v>13</v>
      </c>
      <c r="F765" s="17">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45">
      <c r="B766" t="s">
        <v>788</v>
      </c>
      <c r="C766" t="s">
        <v>7</v>
      </c>
      <c r="D766">
        <v>110</v>
      </c>
      <c r="E766" s="16" t="s">
        <v>10</v>
      </c>
      <c r="F766" s="17">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45">
      <c r="B767" t="s">
        <v>789</v>
      </c>
      <c r="C767" t="s">
        <v>19</v>
      </c>
      <c r="D767">
        <v>64</v>
      </c>
      <c r="E767" s="16" t="s">
        <v>13</v>
      </c>
      <c r="F767" s="17">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45">
      <c r="B768" t="s">
        <v>790</v>
      </c>
      <c r="C768" t="s">
        <v>22</v>
      </c>
      <c r="D768">
        <v>127</v>
      </c>
      <c r="E768" s="16" t="s">
        <v>9</v>
      </c>
      <c r="F768" s="17">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45">
      <c r="B769" t="s">
        <v>791</v>
      </c>
      <c r="C769" t="s">
        <v>5</v>
      </c>
      <c r="D769">
        <v>124</v>
      </c>
      <c r="E769" s="16" t="s">
        <v>11</v>
      </c>
      <c r="F769" s="17">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45">
      <c r="B770" t="s">
        <v>792</v>
      </c>
      <c r="C770" t="s">
        <v>19</v>
      </c>
      <c r="D770">
        <v>125</v>
      </c>
      <c r="E770" s="16" t="s">
        <v>9</v>
      </c>
      <c r="F770" s="17">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45">
      <c r="B771" t="s">
        <v>793</v>
      </c>
      <c r="C771" t="s">
        <v>12</v>
      </c>
      <c r="D771">
        <v>70</v>
      </c>
      <c r="E771" s="16" t="s">
        <v>9</v>
      </c>
      <c r="F771" s="17">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45">
      <c r="B772" t="s">
        <v>794</v>
      </c>
      <c r="C772" t="s">
        <v>22</v>
      </c>
      <c r="D772">
        <v>93</v>
      </c>
      <c r="E772" s="16" t="s">
        <v>13</v>
      </c>
      <c r="F772" s="17">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45">
      <c r="B773" t="s">
        <v>795</v>
      </c>
      <c r="C773" t="s">
        <v>12</v>
      </c>
      <c r="D773">
        <v>120</v>
      </c>
      <c r="E773" s="16" t="s">
        <v>6</v>
      </c>
      <c r="F773" s="17">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45">
      <c r="B774" t="s">
        <v>796</v>
      </c>
      <c r="C774" t="s">
        <v>8</v>
      </c>
      <c r="D774">
        <v>96</v>
      </c>
      <c r="E774" s="16" t="s">
        <v>10</v>
      </c>
      <c r="F774" s="17">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45">
      <c r="B775" t="s">
        <v>797</v>
      </c>
      <c r="C775" t="s">
        <v>21</v>
      </c>
      <c r="D775">
        <v>67</v>
      </c>
      <c r="E775" s="16" t="s">
        <v>10</v>
      </c>
      <c r="F775" s="17">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45">
      <c r="B776" t="s">
        <v>798</v>
      </c>
      <c r="C776" t="s">
        <v>19</v>
      </c>
      <c r="D776">
        <v>119</v>
      </c>
      <c r="E776" s="16" t="s">
        <v>10</v>
      </c>
      <c r="F776" s="17">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45">
      <c r="B777" t="s">
        <v>799</v>
      </c>
      <c r="C777" t="s">
        <v>5</v>
      </c>
      <c r="D777">
        <v>61</v>
      </c>
      <c r="E777" s="16" t="s">
        <v>11</v>
      </c>
      <c r="F777" s="17">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45">
      <c r="B778" t="s">
        <v>800</v>
      </c>
      <c r="C778" t="s">
        <v>8</v>
      </c>
      <c r="D778">
        <v>29</v>
      </c>
      <c r="E778" s="16" t="s">
        <v>13</v>
      </c>
      <c r="F778" s="17">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45">
      <c r="B779" t="s">
        <v>801</v>
      </c>
      <c r="C779" t="s">
        <v>24</v>
      </c>
      <c r="D779">
        <v>134</v>
      </c>
      <c r="E779" s="16" t="s">
        <v>6</v>
      </c>
      <c r="F779" s="17">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45">
      <c r="B780" t="s">
        <v>802</v>
      </c>
      <c r="C780" t="s">
        <v>7</v>
      </c>
      <c r="D780">
        <v>113</v>
      </c>
      <c r="E780" s="16" t="s">
        <v>10</v>
      </c>
      <c r="F780" s="17">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45">
      <c r="B781" t="s">
        <v>803</v>
      </c>
      <c r="C781" t="s">
        <v>17</v>
      </c>
      <c r="D781">
        <v>12</v>
      </c>
      <c r="E781" s="16" t="s">
        <v>6</v>
      </c>
      <c r="F781" s="17">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45">
      <c r="B782" t="s">
        <v>804</v>
      </c>
      <c r="C782" t="s">
        <v>14</v>
      </c>
      <c r="D782">
        <v>78</v>
      </c>
      <c r="E782" s="16" t="s">
        <v>13</v>
      </c>
      <c r="F782" s="17">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45">
      <c r="B783" t="s">
        <v>805</v>
      </c>
      <c r="C783" t="s">
        <v>19</v>
      </c>
      <c r="D783">
        <v>82</v>
      </c>
      <c r="E783" s="16" t="s">
        <v>9</v>
      </c>
      <c r="F783" s="17">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45">
      <c r="B784" t="s">
        <v>806</v>
      </c>
      <c r="C784" t="s">
        <v>18</v>
      </c>
      <c r="D784">
        <v>149</v>
      </c>
      <c r="E784" s="16" t="s">
        <v>11</v>
      </c>
      <c r="F784" s="17">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45">
      <c r="B785" t="s">
        <v>807</v>
      </c>
      <c r="C785" t="s">
        <v>15</v>
      </c>
      <c r="D785">
        <v>56</v>
      </c>
      <c r="E785" s="16" t="s">
        <v>6</v>
      </c>
      <c r="F785" s="17">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45">
      <c r="B786" t="s">
        <v>808</v>
      </c>
      <c r="C786" t="s">
        <v>8</v>
      </c>
      <c r="D786">
        <v>80</v>
      </c>
      <c r="E786" s="16" t="s">
        <v>11</v>
      </c>
      <c r="F786" s="17">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45">
      <c r="B787" t="s">
        <v>809</v>
      </c>
      <c r="C787" t="s">
        <v>5</v>
      </c>
      <c r="D787">
        <v>131</v>
      </c>
      <c r="E787" s="16" t="s">
        <v>10</v>
      </c>
      <c r="F787" s="17">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45">
      <c r="B788" t="s">
        <v>810</v>
      </c>
      <c r="C788" t="s">
        <v>5</v>
      </c>
      <c r="D788">
        <v>109</v>
      </c>
      <c r="E788" s="16" t="s">
        <v>10</v>
      </c>
      <c r="F788" s="17">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45">
      <c r="B789" t="s">
        <v>811</v>
      </c>
      <c r="C789" t="s">
        <v>15</v>
      </c>
      <c r="D789">
        <v>142</v>
      </c>
      <c r="E789" s="16" t="s">
        <v>10</v>
      </c>
      <c r="F789" s="17">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45">
      <c r="B790" t="s">
        <v>812</v>
      </c>
      <c r="C790" t="s">
        <v>22</v>
      </c>
      <c r="D790">
        <v>114</v>
      </c>
      <c r="E790" s="16" t="s">
        <v>6</v>
      </c>
      <c r="F790" s="17">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45">
      <c r="B791" t="s">
        <v>813</v>
      </c>
      <c r="C791" t="s">
        <v>21</v>
      </c>
      <c r="D791">
        <v>93</v>
      </c>
      <c r="E791" s="16" t="s">
        <v>11</v>
      </c>
      <c r="F791" s="17">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45">
      <c r="B792" t="s">
        <v>814</v>
      </c>
      <c r="C792" t="s">
        <v>17</v>
      </c>
      <c r="D792">
        <v>43</v>
      </c>
      <c r="E792" s="16" t="s">
        <v>11</v>
      </c>
      <c r="F792" s="17">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45">
      <c r="B793" t="s">
        <v>815</v>
      </c>
      <c r="C793" t="s">
        <v>24</v>
      </c>
      <c r="D793">
        <v>78</v>
      </c>
      <c r="E793" s="16" t="s">
        <v>13</v>
      </c>
      <c r="F793" s="17">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45">
      <c r="B794" t="s">
        <v>816</v>
      </c>
      <c r="C794" t="s">
        <v>22</v>
      </c>
      <c r="D794">
        <v>89</v>
      </c>
      <c r="E794" s="16" t="s">
        <v>10</v>
      </c>
      <c r="F794" s="17">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45">
      <c r="B795" t="s">
        <v>817</v>
      </c>
      <c r="C795" t="s">
        <v>15</v>
      </c>
      <c r="D795">
        <v>82</v>
      </c>
      <c r="E795" s="16" t="s">
        <v>9</v>
      </c>
      <c r="F795" s="17">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45">
      <c r="B796" t="s">
        <v>818</v>
      </c>
      <c r="C796" t="s">
        <v>8</v>
      </c>
      <c r="D796">
        <v>86</v>
      </c>
      <c r="E796" s="16" t="s">
        <v>10</v>
      </c>
      <c r="F796" s="17">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45">
      <c r="B797" t="s">
        <v>819</v>
      </c>
      <c r="C797" t="s">
        <v>16</v>
      </c>
      <c r="D797">
        <v>57</v>
      </c>
      <c r="E797" s="16" t="s">
        <v>13</v>
      </c>
      <c r="F797" s="17">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45">
      <c r="B798" t="s">
        <v>820</v>
      </c>
      <c r="C798" t="s">
        <v>21</v>
      </c>
      <c r="D798">
        <v>103</v>
      </c>
      <c r="E798" s="16" t="s">
        <v>6</v>
      </c>
      <c r="F798" s="17">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45">
      <c r="B799" t="s">
        <v>821</v>
      </c>
      <c r="C799" t="s">
        <v>14</v>
      </c>
      <c r="D799">
        <v>138</v>
      </c>
      <c r="E799" s="16" t="s">
        <v>13</v>
      </c>
      <c r="F799" s="17">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45">
      <c r="B800" t="s">
        <v>822</v>
      </c>
      <c r="C800" t="s">
        <v>18</v>
      </c>
      <c r="D800">
        <v>88</v>
      </c>
      <c r="E800" s="16" t="s">
        <v>9</v>
      </c>
      <c r="F800" s="17">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45">
      <c r="B801" t="s">
        <v>823</v>
      </c>
      <c r="C801" t="s">
        <v>22</v>
      </c>
      <c r="D801">
        <v>118</v>
      </c>
      <c r="E801" s="16" t="s">
        <v>11</v>
      </c>
      <c r="F801" s="17">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45">
      <c r="B802" t="s">
        <v>824</v>
      </c>
      <c r="C802" t="s">
        <v>8</v>
      </c>
      <c r="D802">
        <v>4</v>
      </c>
      <c r="E802" s="16" t="s">
        <v>10</v>
      </c>
      <c r="F802" s="17">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45">
      <c r="B803" t="s">
        <v>825</v>
      </c>
      <c r="C803" t="s">
        <v>17</v>
      </c>
      <c r="D803">
        <v>78</v>
      </c>
      <c r="E803" s="16" t="s">
        <v>6</v>
      </c>
      <c r="F803" s="17">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45">
      <c r="B804" t="s">
        <v>826</v>
      </c>
      <c r="C804" t="s">
        <v>7</v>
      </c>
      <c r="D804">
        <v>69</v>
      </c>
      <c r="E804" s="16" t="s">
        <v>10</v>
      </c>
      <c r="F804" s="17">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45">
      <c r="B805" t="s">
        <v>827</v>
      </c>
      <c r="C805" t="s">
        <v>15</v>
      </c>
      <c r="D805">
        <v>90</v>
      </c>
      <c r="E805" s="16" t="s">
        <v>13</v>
      </c>
      <c r="F805" s="17">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45">
      <c r="B806" t="s">
        <v>828</v>
      </c>
      <c r="C806" t="s">
        <v>7</v>
      </c>
      <c r="D806">
        <v>134</v>
      </c>
      <c r="E806" s="16" t="s">
        <v>10</v>
      </c>
      <c r="F806" s="17">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45">
      <c r="B807" t="s">
        <v>829</v>
      </c>
      <c r="C807" t="s">
        <v>12</v>
      </c>
      <c r="D807">
        <v>65</v>
      </c>
      <c r="E807" s="16" t="s">
        <v>11</v>
      </c>
      <c r="F807" s="17">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45">
      <c r="B808" t="s">
        <v>830</v>
      </c>
      <c r="C808" t="s">
        <v>23</v>
      </c>
      <c r="D808">
        <v>54</v>
      </c>
      <c r="E808" s="16" t="s">
        <v>6</v>
      </c>
      <c r="F808" s="17">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45">
      <c r="B809" t="s">
        <v>831</v>
      </c>
      <c r="C809" t="s">
        <v>23</v>
      </c>
      <c r="D809">
        <v>90</v>
      </c>
      <c r="E809" s="16" t="s">
        <v>6</v>
      </c>
      <c r="F809" s="17">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45">
      <c r="B810" t="s">
        <v>832</v>
      </c>
      <c r="C810" t="s">
        <v>15</v>
      </c>
      <c r="D810">
        <v>66</v>
      </c>
      <c r="E810" s="16" t="s">
        <v>6</v>
      </c>
      <c r="F810" s="17">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45">
      <c r="B811" t="s">
        <v>833</v>
      </c>
      <c r="C811" t="s">
        <v>8</v>
      </c>
      <c r="D811">
        <v>150</v>
      </c>
      <c r="E811" s="16" t="s">
        <v>6</v>
      </c>
      <c r="F811" s="17">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45">
      <c r="B812" t="s">
        <v>834</v>
      </c>
      <c r="C812" t="s">
        <v>24</v>
      </c>
      <c r="D812">
        <v>18</v>
      </c>
      <c r="E812" s="16" t="s">
        <v>11</v>
      </c>
      <c r="F812" s="17">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45">
      <c r="B813" t="s">
        <v>835</v>
      </c>
      <c r="C813" t="s">
        <v>23</v>
      </c>
      <c r="D813">
        <v>87</v>
      </c>
      <c r="E813" s="16" t="s">
        <v>11</v>
      </c>
      <c r="F813" s="17">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45">
      <c r="B814" t="s">
        <v>836</v>
      </c>
      <c r="C814" t="s">
        <v>14</v>
      </c>
      <c r="D814">
        <v>94</v>
      </c>
      <c r="E814" s="16" t="s">
        <v>6</v>
      </c>
      <c r="F814" s="17">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45">
      <c r="B815" t="s">
        <v>837</v>
      </c>
      <c r="C815" t="s">
        <v>16</v>
      </c>
      <c r="D815">
        <v>56</v>
      </c>
      <c r="E815" s="16" t="s">
        <v>6</v>
      </c>
      <c r="F815" s="17">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45">
      <c r="B816" t="s">
        <v>838</v>
      </c>
      <c r="C816" t="s">
        <v>22</v>
      </c>
      <c r="D816">
        <v>41</v>
      </c>
      <c r="E816" s="16" t="s">
        <v>9</v>
      </c>
      <c r="F816" s="17">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45">
      <c r="B817" t="s">
        <v>839</v>
      </c>
      <c r="C817" t="s">
        <v>8</v>
      </c>
      <c r="D817">
        <v>119</v>
      </c>
      <c r="E817" s="16" t="s">
        <v>13</v>
      </c>
      <c r="F817" s="17">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45">
      <c r="B818" t="s">
        <v>840</v>
      </c>
      <c r="C818" t="s">
        <v>21</v>
      </c>
      <c r="D818">
        <v>108</v>
      </c>
      <c r="E818" s="16" t="s">
        <v>6</v>
      </c>
      <c r="F818" s="17">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45">
      <c r="B819" t="s">
        <v>841</v>
      </c>
      <c r="C819" t="s">
        <v>17</v>
      </c>
      <c r="D819">
        <v>63</v>
      </c>
      <c r="E819" s="16" t="s">
        <v>10</v>
      </c>
      <c r="F819" s="17">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45">
      <c r="B820" t="s">
        <v>842</v>
      </c>
      <c r="C820" t="s">
        <v>19</v>
      </c>
      <c r="D820">
        <v>59</v>
      </c>
      <c r="E820" s="16" t="s">
        <v>6</v>
      </c>
      <c r="F820" s="17">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45">
      <c r="B821" t="s">
        <v>843</v>
      </c>
      <c r="C821" t="s">
        <v>19</v>
      </c>
      <c r="D821">
        <v>90</v>
      </c>
      <c r="E821" s="16" t="s">
        <v>9</v>
      </c>
      <c r="F821" s="17">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45">
      <c r="B822" t="s">
        <v>844</v>
      </c>
      <c r="C822" t="s">
        <v>18</v>
      </c>
      <c r="D822">
        <v>55</v>
      </c>
      <c r="E822" s="16" t="s">
        <v>9</v>
      </c>
      <c r="F822" s="17">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45">
      <c r="B823" t="s">
        <v>845</v>
      </c>
      <c r="C823" t="s">
        <v>21</v>
      </c>
      <c r="D823">
        <v>84</v>
      </c>
      <c r="E823" s="16" t="s">
        <v>13</v>
      </c>
      <c r="F823" s="17">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45">
      <c r="B824" t="s">
        <v>846</v>
      </c>
      <c r="C824" t="s">
        <v>21</v>
      </c>
      <c r="D824">
        <v>150</v>
      </c>
      <c r="E824" s="16" t="s">
        <v>11</v>
      </c>
      <c r="F824" s="17">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45">
      <c r="B825" t="s">
        <v>847</v>
      </c>
      <c r="C825" t="s">
        <v>5</v>
      </c>
      <c r="D825">
        <v>69</v>
      </c>
      <c r="E825" s="16" t="s">
        <v>6</v>
      </c>
      <c r="F825" s="17">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45">
      <c r="B826" t="s">
        <v>848</v>
      </c>
      <c r="C826" t="s">
        <v>20</v>
      </c>
      <c r="D826">
        <v>120</v>
      </c>
      <c r="E826" s="16" t="s">
        <v>9</v>
      </c>
      <c r="F826" s="17">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45">
      <c r="B827" t="s">
        <v>849</v>
      </c>
      <c r="C827" t="s">
        <v>23</v>
      </c>
      <c r="D827">
        <v>126</v>
      </c>
      <c r="E827" s="16" t="s">
        <v>13</v>
      </c>
      <c r="F827" s="17">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45">
      <c r="B828" t="s">
        <v>850</v>
      </c>
      <c r="C828" t="s">
        <v>5</v>
      </c>
      <c r="D828">
        <v>120</v>
      </c>
      <c r="E828" s="16" t="s">
        <v>10</v>
      </c>
      <c r="F828" s="17">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45">
      <c r="B829" t="s">
        <v>851</v>
      </c>
      <c r="C829" t="s">
        <v>23</v>
      </c>
      <c r="D829">
        <v>139</v>
      </c>
      <c r="E829" s="16" t="s">
        <v>9</v>
      </c>
      <c r="F829" s="17">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45">
      <c r="B830" t="s">
        <v>852</v>
      </c>
      <c r="C830" t="s">
        <v>18</v>
      </c>
      <c r="D830">
        <v>124</v>
      </c>
      <c r="E830" s="16" t="s">
        <v>6</v>
      </c>
      <c r="F830" s="17">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45">
      <c r="B831" t="s">
        <v>853</v>
      </c>
      <c r="C831" t="s">
        <v>20</v>
      </c>
      <c r="D831">
        <v>108</v>
      </c>
      <c r="E831" s="16" t="s">
        <v>10</v>
      </c>
      <c r="F831" s="17">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45">
      <c r="B832" t="s">
        <v>854</v>
      </c>
      <c r="C832" t="s">
        <v>12</v>
      </c>
      <c r="D832">
        <v>132</v>
      </c>
      <c r="E832" s="16" t="s">
        <v>11</v>
      </c>
      <c r="F832" s="17">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45">
      <c r="B833" t="s">
        <v>855</v>
      </c>
      <c r="C833" t="s">
        <v>17</v>
      </c>
      <c r="D833">
        <v>67</v>
      </c>
      <c r="E833" s="16" t="s">
        <v>11</v>
      </c>
      <c r="F833" s="17">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45">
      <c r="B834" t="s">
        <v>856</v>
      </c>
      <c r="C834" t="s">
        <v>15</v>
      </c>
      <c r="D834">
        <v>125</v>
      </c>
      <c r="E834" s="16" t="s">
        <v>11</v>
      </c>
      <c r="F834" s="17">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45">
      <c r="B835" t="s">
        <v>857</v>
      </c>
      <c r="C835" t="s">
        <v>20</v>
      </c>
      <c r="D835">
        <v>23</v>
      </c>
      <c r="E835" s="16" t="s">
        <v>10</v>
      </c>
      <c r="F835" s="17">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45">
      <c r="B836" t="s">
        <v>858</v>
      </c>
      <c r="C836" t="s">
        <v>8</v>
      </c>
      <c r="D836">
        <v>131</v>
      </c>
      <c r="E836" s="16" t="s">
        <v>6</v>
      </c>
      <c r="F836" s="17">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45">
      <c r="B837" t="s">
        <v>859</v>
      </c>
      <c r="C837" t="s">
        <v>12</v>
      </c>
      <c r="D837">
        <v>56</v>
      </c>
      <c r="E837" s="16" t="s">
        <v>9</v>
      </c>
      <c r="F837" s="17">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45">
      <c r="B838" t="s">
        <v>860</v>
      </c>
      <c r="C838" t="s">
        <v>8</v>
      </c>
      <c r="D838">
        <v>70</v>
      </c>
      <c r="E838" s="16" t="s">
        <v>6</v>
      </c>
      <c r="F838" s="17">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45">
      <c r="B839" t="s">
        <v>861</v>
      </c>
      <c r="C839" t="s">
        <v>8</v>
      </c>
      <c r="D839">
        <v>55</v>
      </c>
      <c r="E839" s="16" t="s">
        <v>11</v>
      </c>
      <c r="F839" s="17">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45">
      <c r="B840" t="s">
        <v>862</v>
      </c>
      <c r="C840" t="s">
        <v>15</v>
      </c>
      <c r="D840">
        <v>77</v>
      </c>
      <c r="E840" s="16" t="s">
        <v>9</v>
      </c>
      <c r="F840" s="17">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45">
      <c r="B841" t="s">
        <v>863</v>
      </c>
      <c r="C841" t="s">
        <v>21</v>
      </c>
      <c r="D841">
        <v>133</v>
      </c>
      <c r="E841" s="16" t="s">
        <v>6</v>
      </c>
      <c r="F841" s="17">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45">
      <c r="B842" t="s">
        <v>864</v>
      </c>
      <c r="C842" t="s">
        <v>15</v>
      </c>
      <c r="D842">
        <v>77</v>
      </c>
      <c r="E842" s="16" t="s">
        <v>9</v>
      </c>
      <c r="F842" s="17">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45">
      <c r="B843" t="s">
        <v>865</v>
      </c>
      <c r="C843" t="s">
        <v>19</v>
      </c>
      <c r="D843">
        <v>103</v>
      </c>
      <c r="E843" s="16" t="s">
        <v>6</v>
      </c>
      <c r="F843" s="17">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45">
      <c r="B844" t="s">
        <v>866</v>
      </c>
      <c r="C844" t="s">
        <v>5</v>
      </c>
      <c r="D844">
        <v>32</v>
      </c>
      <c r="E844" s="16" t="s">
        <v>9</v>
      </c>
      <c r="F844" s="17">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45">
      <c r="B845" t="s">
        <v>867</v>
      </c>
      <c r="C845" t="s">
        <v>21</v>
      </c>
      <c r="D845">
        <v>30</v>
      </c>
      <c r="E845" s="16" t="s">
        <v>6</v>
      </c>
      <c r="F845" s="17">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45">
      <c r="B846" t="s">
        <v>868</v>
      </c>
      <c r="C846" t="s">
        <v>23</v>
      </c>
      <c r="D846">
        <v>87</v>
      </c>
      <c r="E846" s="16" t="s">
        <v>13</v>
      </c>
      <c r="F846" s="17">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45">
      <c r="B847" t="s">
        <v>869</v>
      </c>
      <c r="C847" t="s">
        <v>15</v>
      </c>
      <c r="D847">
        <v>137</v>
      </c>
      <c r="E847" s="16" t="s">
        <v>10</v>
      </c>
      <c r="F847" s="17">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45">
      <c r="B848" t="s">
        <v>870</v>
      </c>
      <c r="C848" t="s">
        <v>14</v>
      </c>
      <c r="D848">
        <v>96</v>
      </c>
      <c r="E848" s="16" t="s">
        <v>6</v>
      </c>
      <c r="F848" s="17">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45">
      <c r="B849" t="s">
        <v>871</v>
      </c>
      <c r="C849" t="s">
        <v>18</v>
      </c>
      <c r="D849">
        <v>155</v>
      </c>
      <c r="E849" s="16" t="s">
        <v>6</v>
      </c>
      <c r="F849" s="17">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45">
      <c r="B850" t="s">
        <v>872</v>
      </c>
      <c r="C850" t="s">
        <v>21</v>
      </c>
      <c r="D850">
        <v>173</v>
      </c>
      <c r="E850" s="16" t="s">
        <v>11</v>
      </c>
      <c r="F850" s="17">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45">
      <c r="B851" t="s">
        <v>873</v>
      </c>
      <c r="C851" t="s">
        <v>18</v>
      </c>
      <c r="D851">
        <v>127</v>
      </c>
      <c r="E851" s="16" t="s">
        <v>6</v>
      </c>
      <c r="F851" s="17">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45">
      <c r="B852" t="s">
        <v>874</v>
      </c>
      <c r="C852" t="s">
        <v>12</v>
      </c>
      <c r="D852">
        <v>117</v>
      </c>
      <c r="E852" s="16" t="s">
        <v>11</v>
      </c>
      <c r="F852" s="17">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45">
      <c r="B853" t="s">
        <v>875</v>
      </c>
      <c r="C853" t="s">
        <v>20</v>
      </c>
      <c r="D853">
        <v>133</v>
      </c>
      <c r="E853" s="16" t="s">
        <v>9</v>
      </c>
      <c r="F853" s="17">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45">
      <c r="B854" t="s">
        <v>876</v>
      </c>
      <c r="C854" t="s">
        <v>24</v>
      </c>
      <c r="D854">
        <v>166</v>
      </c>
      <c r="E854" s="16" t="s">
        <v>13</v>
      </c>
      <c r="F854" s="17">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45">
      <c r="B855" t="s">
        <v>877</v>
      </c>
      <c r="C855" t="s">
        <v>20</v>
      </c>
      <c r="D855">
        <v>50</v>
      </c>
      <c r="E855" s="16" t="s">
        <v>11</v>
      </c>
      <c r="F855" s="17">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45">
      <c r="B856" t="s">
        <v>878</v>
      </c>
      <c r="C856" t="s">
        <v>19</v>
      </c>
      <c r="D856">
        <v>43</v>
      </c>
      <c r="E856" s="16" t="s">
        <v>9</v>
      </c>
      <c r="F856" s="17">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45">
      <c r="B857" t="s">
        <v>879</v>
      </c>
      <c r="C857" t="s">
        <v>14</v>
      </c>
      <c r="D857">
        <v>124</v>
      </c>
      <c r="E857" s="16" t="s">
        <v>6</v>
      </c>
      <c r="F857" s="17">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45">
      <c r="B858" t="s">
        <v>880</v>
      </c>
      <c r="C858" t="s">
        <v>21</v>
      </c>
      <c r="D858">
        <v>94</v>
      </c>
      <c r="E858" s="16" t="s">
        <v>6</v>
      </c>
      <c r="F858" s="17">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45">
      <c r="B859" t="s">
        <v>881</v>
      </c>
      <c r="C859" t="s">
        <v>19</v>
      </c>
      <c r="D859">
        <v>126</v>
      </c>
      <c r="E859" s="16" t="s">
        <v>13</v>
      </c>
      <c r="F859" s="17">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45">
      <c r="B860" t="s">
        <v>882</v>
      </c>
      <c r="C860" t="s">
        <v>24</v>
      </c>
      <c r="D860">
        <v>105</v>
      </c>
      <c r="E860" s="16" t="s">
        <v>11</v>
      </c>
      <c r="F860" s="17">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45">
      <c r="B861" t="s">
        <v>883</v>
      </c>
      <c r="C861" t="s">
        <v>8</v>
      </c>
      <c r="D861">
        <v>60</v>
      </c>
      <c r="E861" s="16" t="s">
        <v>10</v>
      </c>
      <c r="F861" s="17">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45">
      <c r="B862" t="s">
        <v>884</v>
      </c>
      <c r="C862" t="s">
        <v>8</v>
      </c>
      <c r="D862">
        <v>72</v>
      </c>
      <c r="E862" s="16" t="s">
        <v>11</v>
      </c>
      <c r="F862" s="17">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45">
      <c r="B863" t="s">
        <v>885</v>
      </c>
      <c r="C863" t="s">
        <v>16</v>
      </c>
      <c r="D863">
        <v>40</v>
      </c>
      <c r="E863" s="16" t="s">
        <v>11</v>
      </c>
      <c r="F863" s="17">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45">
      <c r="B864" t="s">
        <v>886</v>
      </c>
      <c r="C864" t="s">
        <v>5</v>
      </c>
      <c r="D864">
        <v>54</v>
      </c>
      <c r="E864" s="16" t="s">
        <v>13</v>
      </c>
      <c r="F864" s="17">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45">
      <c r="B865" t="s">
        <v>887</v>
      </c>
      <c r="C865" t="s">
        <v>12</v>
      </c>
      <c r="D865">
        <v>81</v>
      </c>
      <c r="E865" s="16" t="s">
        <v>9</v>
      </c>
      <c r="F865" s="17">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45">
      <c r="B866" t="s">
        <v>888</v>
      </c>
      <c r="C866" t="s">
        <v>5</v>
      </c>
      <c r="D866">
        <v>76</v>
      </c>
      <c r="E866" s="16" t="s">
        <v>6</v>
      </c>
      <c r="F866" s="17">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45">
      <c r="B867" t="s">
        <v>889</v>
      </c>
      <c r="C867" t="s">
        <v>5</v>
      </c>
      <c r="D867">
        <v>37</v>
      </c>
      <c r="E867" s="16" t="s">
        <v>10</v>
      </c>
      <c r="F867" s="17">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45">
      <c r="B868" t="s">
        <v>890</v>
      </c>
      <c r="C868" t="s">
        <v>24</v>
      </c>
      <c r="D868">
        <v>96</v>
      </c>
      <c r="E868" s="16" t="s">
        <v>13</v>
      </c>
      <c r="F868" s="17">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45">
      <c r="B869" t="s">
        <v>891</v>
      </c>
      <c r="C869" t="s">
        <v>8</v>
      </c>
      <c r="D869">
        <v>19</v>
      </c>
      <c r="E869" s="16" t="s">
        <v>6</v>
      </c>
      <c r="F869" s="17">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45">
      <c r="B870" t="s">
        <v>892</v>
      </c>
      <c r="C870" t="s">
        <v>16</v>
      </c>
      <c r="D870">
        <v>72</v>
      </c>
      <c r="E870" s="16" t="s">
        <v>10</v>
      </c>
      <c r="F870" s="17">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45">
      <c r="B871" t="s">
        <v>893</v>
      </c>
      <c r="C871" t="s">
        <v>21</v>
      </c>
      <c r="D871">
        <v>73</v>
      </c>
      <c r="E871" s="16" t="s">
        <v>9</v>
      </c>
      <c r="F871" s="17">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45">
      <c r="B872" t="s">
        <v>894</v>
      </c>
      <c r="C872" t="s">
        <v>17</v>
      </c>
      <c r="D872">
        <v>87</v>
      </c>
      <c r="E872" s="16" t="s">
        <v>9</v>
      </c>
      <c r="F872" s="17">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45">
      <c r="B873" t="s">
        <v>895</v>
      </c>
      <c r="C873" t="s">
        <v>17</v>
      </c>
      <c r="D873">
        <v>68</v>
      </c>
      <c r="E873" s="16" t="s">
        <v>9</v>
      </c>
      <c r="F873" s="17">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45">
      <c r="B874" t="s">
        <v>896</v>
      </c>
      <c r="C874" t="s">
        <v>16</v>
      </c>
      <c r="D874">
        <v>101</v>
      </c>
      <c r="E874" s="16" t="s">
        <v>9</v>
      </c>
      <c r="F874" s="17">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45">
      <c r="B875" t="s">
        <v>897</v>
      </c>
      <c r="C875" t="s">
        <v>16</v>
      </c>
      <c r="D875">
        <v>107</v>
      </c>
      <c r="E875" s="16" t="s">
        <v>10</v>
      </c>
      <c r="F875" s="17">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45">
      <c r="B876" t="s">
        <v>898</v>
      </c>
      <c r="C876" t="s">
        <v>22</v>
      </c>
      <c r="D876">
        <v>109</v>
      </c>
      <c r="E876" s="16" t="s">
        <v>11</v>
      </c>
      <c r="F876" s="17">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45">
      <c r="B877" t="s">
        <v>899</v>
      </c>
      <c r="C877" t="s">
        <v>14</v>
      </c>
      <c r="D877">
        <v>171</v>
      </c>
      <c r="E877" s="16" t="s">
        <v>10</v>
      </c>
      <c r="F877" s="17">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45">
      <c r="B878" t="s">
        <v>900</v>
      </c>
      <c r="C878" t="s">
        <v>8</v>
      </c>
      <c r="D878">
        <v>21</v>
      </c>
      <c r="E878" s="16" t="s">
        <v>10</v>
      </c>
      <c r="F878" s="17">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45">
      <c r="B879" t="s">
        <v>901</v>
      </c>
      <c r="C879" t="s">
        <v>12</v>
      </c>
      <c r="D879">
        <v>94</v>
      </c>
      <c r="E879" s="16" t="s">
        <v>10</v>
      </c>
      <c r="F879" s="17">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45">
      <c r="B880" t="s">
        <v>902</v>
      </c>
      <c r="C880" t="s">
        <v>21</v>
      </c>
      <c r="D880">
        <v>97</v>
      </c>
      <c r="E880" s="16" t="s">
        <v>11</v>
      </c>
      <c r="F880" s="17">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45">
      <c r="B881" t="s">
        <v>903</v>
      </c>
      <c r="C881" t="s">
        <v>24</v>
      </c>
      <c r="D881">
        <v>72</v>
      </c>
      <c r="E881" s="16" t="s">
        <v>11</v>
      </c>
      <c r="F881" s="17">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45">
      <c r="B882" t="s">
        <v>904</v>
      </c>
      <c r="C882" t="s">
        <v>14</v>
      </c>
      <c r="D882">
        <v>143</v>
      </c>
      <c r="E882" s="16" t="s">
        <v>13</v>
      </c>
      <c r="F882" s="17">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45">
      <c r="B883" t="s">
        <v>905</v>
      </c>
      <c r="C883" t="s">
        <v>14</v>
      </c>
      <c r="D883">
        <v>64</v>
      </c>
      <c r="E883" s="16" t="s">
        <v>11</v>
      </c>
      <c r="F883" s="17">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45">
      <c r="B884" t="s">
        <v>906</v>
      </c>
      <c r="C884" t="s">
        <v>14</v>
      </c>
      <c r="D884">
        <v>69</v>
      </c>
      <c r="E884" s="16" t="s">
        <v>11</v>
      </c>
      <c r="F884" s="17">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45">
      <c r="B885" t="s">
        <v>907</v>
      </c>
      <c r="C885" t="s">
        <v>14</v>
      </c>
      <c r="D885">
        <v>18</v>
      </c>
      <c r="E885" s="16" t="s">
        <v>6</v>
      </c>
      <c r="F885" s="17">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45">
      <c r="B886" t="s">
        <v>908</v>
      </c>
      <c r="C886" t="s">
        <v>21</v>
      </c>
      <c r="D886">
        <v>100</v>
      </c>
      <c r="E886" s="16" t="s">
        <v>13</v>
      </c>
      <c r="F886" s="17">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45">
      <c r="B887" t="s">
        <v>909</v>
      </c>
      <c r="C887" t="s">
        <v>18</v>
      </c>
      <c r="D887">
        <v>110</v>
      </c>
      <c r="E887" s="16" t="s">
        <v>9</v>
      </c>
      <c r="F887" s="17">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45">
      <c r="B888" t="s">
        <v>910</v>
      </c>
      <c r="C888" t="s">
        <v>7</v>
      </c>
      <c r="D888">
        <v>41</v>
      </c>
      <c r="E888" s="16" t="s">
        <v>10</v>
      </c>
      <c r="F888" s="17">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45">
      <c r="B889" t="s">
        <v>911</v>
      </c>
      <c r="C889" t="s">
        <v>18</v>
      </c>
      <c r="D889">
        <v>147</v>
      </c>
      <c r="E889" s="16" t="s">
        <v>9</v>
      </c>
      <c r="F889" s="17">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45">
      <c r="B890" t="s">
        <v>912</v>
      </c>
      <c r="C890" t="s">
        <v>12</v>
      </c>
      <c r="D890">
        <v>31</v>
      </c>
      <c r="E890" s="16" t="s">
        <v>6</v>
      </c>
      <c r="F890" s="17">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45">
      <c r="B891" t="s">
        <v>913</v>
      </c>
      <c r="C891" t="s">
        <v>17</v>
      </c>
      <c r="D891">
        <v>142</v>
      </c>
      <c r="E891" s="16" t="s">
        <v>10</v>
      </c>
      <c r="F891" s="17">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45">
      <c r="B892" t="s">
        <v>914</v>
      </c>
      <c r="C892" t="s">
        <v>22</v>
      </c>
      <c r="D892">
        <v>61</v>
      </c>
      <c r="E892" s="16" t="s">
        <v>10</v>
      </c>
      <c r="F892" s="17">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45">
      <c r="B893" t="s">
        <v>915</v>
      </c>
      <c r="C893" t="s">
        <v>20</v>
      </c>
      <c r="D893">
        <v>86</v>
      </c>
      <c r="E893" s="16" t="s">
        <v>6</v>
      </c>
      <c r="F893" s="17">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45">
      <c r="B894" t="s">
        <v>916</v>
      </c>
      <c r="C894" t="s">
        <v>23</v>
      </c>
      <c r="D894">
        <v>165</v>
      </c>
      <c r="E894" s="16" t="s">
        <v>13</v>
      </c>
      <c r="F894" s="17">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45">
      <c r="B895" t="s">
        <v>917</v>
      </c>
      <c r="C895" t="s">
        <v>5</v>
      </c>
      <c r="D895">
        <v>62</v>
      </c>
      <c r="E895" s="16" t="s">
        <v>9</v>
      </c>
      <c r="F895" s="17">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45">
      <c r="B896" t="s">
        <v>918</v>
      </c>
      <c r="C896" t="s">
        <v>21</v>
      </c>
      <c r="D896">
        <v>103</v>
      </c>
      <c r="E896" s="16" t="s">
        <v>13</v>
      </c>
      <c r="F896" s="17">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45">
      <c r="B897" t="s">
        <v>919</v>
      </c>
      <c r="C897" t="s">
        <v>17</v>
      </c>
      <c r="D897">
        <v>56</v>
      </c>
      <c r="E897" s="16" t="s">
        <v>6</v>
      </c>
      <c r="F897" s="17">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45">
      <c r="B898" t="s">
        <v>920</v>
      </c>
      <c r="C898" t="s">
        <v>16</v>
      </c>
      <c r="D898">
        <v>114</v>
      </c>
      <c r="E898" s="16" t="s">
        <v>10</v>
      </c>
      <c r="F898" s="17">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45">
      <c r="B899" t="s">
        <v>921</v>
      </c>
      <c r="C899" t="s">
        <v>17</v>
      </c>
      <c r="D899">
        <v>112</v>
      </c>
      <c r="E899" s="16" t="s">
        <v>11</v>
      </c>
      <c r="F899" s="17">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45">
      <c r="B900" t="s">
        <v>922</v>
      </c>
      <c r="C900" t="s">
        <v>15</v>
      </c>
      <c r="D900">
        <v>52</v>
      </c>
      <c r="E900" s="16" t="s">
        <v>9</v>
      </c>
      <c r="F900" s="17">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45">
      <c r="B901" t="s">
        <v>923</v>
      </c>
      <c r="C901" t="s">
        <v>21</v>
      </c>
      <c r="D901">
        <v>105</v>
      </c>
      <c r="E901" s="16" t="s">
        <v>13</v>
      </c>
      <c r="F901" s="17">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45">
      <c r="B902" t="s">
        <v>924</v>
      </c>
      <c r="C902" t="s">
        <v>23</v>
      </c>
      <c r="D902">
        <v>91</v>
      </c>
      <c r="E902" s="16" t="s">
        <v>6</v>
      </c>
      <c r="F902" s="17">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45">
      <c r="B903" t="s">
        <v>925</v>
      </c>
      <c r="C903" t="s">
        <v>19</v>
      </c>
      <c r="D903">
        <v>74</v>
      </c>
      <c r="E903" s="16" t="s">
        <v>10</v>
      </c>
      <c r="F903" s="17">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45">
      <c r="B904" t="s">
        <v>926</v>
      </c>
      <c r="C904" t="s">
        <v>19</v>
      </c>
      <c r="D904">
        <v>30</v>
      </c>
      <c r="E904" s="16" t="s">
        <v>6</v>
      </c>
      <c r="F904" s="17">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45">
      <c r="B905" t="s">
        <v>927</v>
      </c>
      <c r="C905" t="s">
        <v>23</v>
      </c>
      <c r="D905">
        <v>56</v>
      </c>
      <c r="E905" s="16" t="s">
        <v>9</v>
      </c>
      <c r="F905" s="17">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45">
      <c r="B906" t="s">
        <v>928</v>
      </c>
      <c r="C906" t="s">
        <v>19</v>
      </c>
      <c r="D906">
        <v>151</v>
      </c>
      <c r="E906" s="16" t="s">
        <v>11</v>
      </c>
      <c r="F906" s="17">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45">
      <c r="B907" t="s">
        <v>929</v>
      </c>
      <c r="C907" t="s">
        <v>12</v>
      </c>
      <c r="D907">
        <v>108</v>
      </c>
      <c r="E907" s="16" t="s">
        <v>13</v>
      </c>
      <c r="F907" s="17">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45">
      <c r="B908" t="s">
        <v>930</v>
      </c>
      <c r="C908" t="s">
        <v>16</v>
      </c>
      <c r="D908">
        <v>124</v>
      </c>
      <c r="E908" s="16" t="s">
        <v>10</v>
      </c>
      <c r="F908" s="17">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45">
      <c r="B909" t="s">
        <v>931</v>
      </c>
      <c r="C909" t="s">
        <v>21</v>
      </c>
      <c r="D909">
        <v>110</v>
      </c>
      <c r="E909" s="16" t="s">
        <v>9</v>
      </c>
      <c r="F909" s="17">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45">
      <c r="B910" t="s">
        <v>932</v>
      </c>
      <c r="C910" t="s">
        <v>18</v>
      </c>
      <c r="D910">
        <v>89</v>
      </c>
      <c r="E910" s="16" t="s">
        <v>13</v>
      </c>
      <c r="F910" s="17">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45">
      <c r="B911" t="s">
        <v>933</v>
      </c>
      <c r="C911" t="s">
        <v>20</v>
      </c>
      <c r="D911">
        <v>95</v>
      </c>
      <c r="E911" s="16" t="s">
        <v>9</v>
      </c>
      <c r="F911" s="17">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45">
      <c r="B912" t="s">
        <v>934</v>
      </c>
      <c r="C912" t="s">
        <v>19</v>
      </c>
      <c r="D912">
        <v>84</v>
      </c>
      <c r="E912" s="16" t="s">
        <v>13</v>
      </c>
      <c r="F912" s="17">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45">
      <c r="B913" t="s">
        <v>935</v>
      </c>
      <c r="C913" t="s">
        <v>24</v>
      </c>
      <c r="D913">
        <v>89</v>
      </c>
      <c r="E913" s="16" t="s">
        <v>10</v>
      </c>
      <c r="F913" s="17">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45">
      <c r="B914" t="s">
        <v>936</v>
      </c>
      <c r="C914" t="s">
        <v>18</v>
      </c>
      <c r="D914">
        <v>146</v>
      </c>
      <c r="E914" s="16" t="s">
        <v>10</v>
      </c>
      <c r="F914" s="17">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45">
      <c r="B915" t="s">
        <v>937</v>
      </c>
      <c r="C915" t="s">
        <v>14</v>
      </c>
      <c r="D915">
        <v>62</v>
      </c>
      <c r="E915" s="16" t="s">
        <v>6</v>
      </c>
      <c r="F915" s="17">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45">
      <c r="B916" t="s">
        <v>938</v>
      </c>
      <c r="C916" t="s">
        <v>17</v>
      </c>
      <c r="D916">
        <v>82</v>
      </c>
      <c r="E916" s="16" t="s">
        <v>10</v>
      </c>
      <c r="F916" s="17">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45">
      <c r="B917" t="s">
        <v>939</v>
      </c>
      <c r="C917" t="s">
        <v>22</v>
      </c>
      <c r="D917">
        <v>91</v>
      </c>
      <c r="E917" s="16" t="s">
        <v>11</v>
      </c>
      <c r="F917" s="17">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45">
      <c r="B918" t="s">
        <v>940</v>
      </c>
      <c r="C918" t="s">
        <v>24</v>
      </c>
      <c r="D918">
        <v>39</v>
      </c>
      <c r="E918" s="16" t="s">
        <v>10</v>
      </c>
      <c r="F918" s="17">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45">
      <c r="B919" t="s">
        <v>941</v>
      </c>
      <c r="C919" t="s">
        <v>18</v>
      </c>
      <c r="D919">
        <v>149</v>
      </c>
      <c r="E919" s="16" t="s">
        <v>9</v>
      </c>
      <c r="F919" s="17">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45">
      <c r="B920" t="s">
        <v>942</v>
      </c>
      <c r="C920" t="s">
        <v>17</v>
      </c>
      <c r="D920">
        <v>138</v>
      </c>
      <c r="E920" s="16" t="s">
        <v>6</v>
      </c>
      <c r="F920" s="17">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45">
      <c r="B921" t="s">
        <v>943</v>
      </c>
      <c r="C921" t="s">
        <v>14</v>
      </c>
      <c r="D921">
        <v>113</v>
      </c>
      <c r="E921" s="16" t="s">
        <v>9</v>
      </c>
      <c r="F921" s="17">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45">
      <c r="B922" t="s">
        <v>944</v>
      </c>
      <c r="C922" t="s">
        <v>8</v>
      </c>
      <c r="D922">
        <v>88</v>
      </c>
      <c r="E922" s="16" t="s">
        <v>10</v>
      </c>
      <c r="F922" s="17">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45">
      <c r="B923" t="s">
        <v>945</v>
      </c>
      <c r="C923" t="s">
        <v>20</v>
      </c>
      <c r="D923">
        <v>64</v>
      </c>
      <c r="E923" s="16" t="s">
        <v>6</v>
      </c>
      <c r="F923" s="17">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45">
      <c r="B924" t="s">
        <v>946</v>
      </c>
      <c r="C924" t="s">
        <v>23</v>
      </c>
      <c r="D924">
        <v>53</v>
      </c>
      <c r="E924" s="16" t="s">
        <v>6</v>
      </c>
      <c r="F924" s="17">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45">
      <c r="B925" t="s">
        <v>947</v>
      </c>
      <c r="C925" t="s">
        <v>16</v>
      </c>
      <c r="D925">
        <v>63</v>
      </c>
      <c r="E925" s="16" t="s">
        <v>9</v>
      </c>
      <c r="F925" s="17">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45">
      <c r="B926" t="s">
        <v>948</v>
      </c>
      <c r="C926" t="s">
        <v>15</v>
      </c>
      <c r="D926">
        <v>54</v>
      </c>
      <c r="E926" s="16" t="s">
        <v>9</v>
      </c>
      <c r="F926" s="17">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45">
      <c r="B927" t="s">
        <v>949</v>
      </c>
      <c r="C927" t="s">
        <v>16</v>
      </c>
      <c r="D927">
        <v>54</v>
      </c>
      <c r="E927" s="16" t="s">
        <v>10</v>
      </c>
      <c r="F927" s="17">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45">
      <c r="B928" t="s">
        <v>950</v>
      </c>
      <c r="C928" t="s">
        <v>18</v>
      </c>
      <c r="D928">
        <v>71</v>
      </c>
      <c r="E928" s="16" t="s">
        <v>6</v>
      </c>
      <c r="F928" s="17">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45">
      <c r="B929" t="s">
        <v>951</v>
      </c>
      <c r="C929" t="s">
        <v>16</v>
      </c>
      <c r="D929">
        <v>93</v>
      </c>
      <c r="E929" s="16" t="s">
        <v>10</v>
      </c>
      <c r="F929" s="17">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45">
      <c r="B930" t="s">
        <v>952</v>
      </c>
      <c r="C930" t="s">
        <v>21</v>
      </c>
      <c r="D930">
        <v>96</v>
      </c>
      <c r="E930" s="16" t="s">
        <v>9</v>
      </c>
      <c r="F930" s="17">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45">
      <c r="B931" t="s">
        <v>953</v>
      </c>
      <c r="C931" t="s">
        <v>24</v>
      </c>
      <c r="D931">
        <v>31</v>
      </c>
      <c r="E931" s="16" t="s">
        <v>11</v>
      </c>
      <c r="F931" s="17">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45">
      <c r="B932" t="s">
        <v>954</v>
      </c>
      <c r="C932" t="s">
        <v>16</v>
      </c>
      <c r="D932">
        <v>107</v>
      </c>
      <c r="E932" s="16" t="s">
        <v>6</v>
      </c>
      <c r="F932" s="17">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45">
      <c r="B933" t="s">
        <v>955</v>
      </c>
      <c r="C933" t="s">
        <v>23</v>
      </c>
      <c r="D933">
        <v>50</v>
      </c>
      <c r="E933" s="16" t="s">
        <v>11</v>
      </c>
      <c r="F933" s="17">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45">
      <c r="B934" t="s">
        <v>956</v>
      </c>
      <c r="C934" t="s">
        <v>17</v>
      </c>
      <c r="D934">
        <v>69</v>
      </c>
      <c r="E934" s="16" t="s">
        <v>6</v>
      </c>
      <c r="F934" s="17">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45">
      <c r="B935" t="s">
        <v>957</v>
      </c>
      <c r="C935" t="s">
        <v>8</v>
      </c>
      <c r="D935">
        <v>26</v>
      </c>
      <c r="E935" s="16" t="s">
        <v>9</v>
      </c>
      <c r="F935" s="17">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45">
      <c r="B936" t="s">
        <v>958</v>
      </c>
      <c r="C936" t="s">
        <v>21</v>
      </c>
      <c r="D936">
        <v>158</v>
      </c>
      <c r="E936" s="16" t="s">
        <v>6</v>
      </c>
      <c r="F936" s="17">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45">
      <c r="B937" t="s">
        <v>959</v>
      </c>
      <c r="C937" t="s">
        <v>15</v>
      </c>
      <c r="D937">
        <v>99</v>
      </c>
      <c r="E937" s="16" t="s">
        <v>6</v>
      </c>
      <c r="F937" s="17">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45">
      <c r="B938" t="s">
        <v>960</v>
      </c>
      <c r="C938" t="s">
        <v>21</v>
      </c>
      <c r="D938">
        <v>78</v>
      </c>
      <c r="E938" s="16" t="s">
        <v>11</v>
      </c>
      <c r="F938" s="17">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45">
      <c r="B939" t="s">
        <v>961</v>
      </c>
      <c r="C939" t="s">
        <v>21</v>
      </c>
      <c r="D939">
        <v>102</v>
      </c>
      <c r="E939" s="16" t="s">
        <v>9</v>
      </c>
      <c r="F939" s="17">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45">
      <c r="B940" t="s">
        <v>962</v>
      </c>
      <c r="C940" t="s">
        <v>15</v>
      </c>
      <c r="D940">
        <v>158</v>
      </c>
      <c r="E940" s="16" t="s">
        <v>13</v>
      </c>
      <c r="F940" s="17">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45">
      <c r="B941" t="s">
        <v>963</v>
      </c>
      <c r="C941" t="s">
        <v>24</v>
      </c>
      <c r="D941">
        <v>56</v>
      </c>
      <c r="E941" s="16" t="s">
        <v>6</v>
      </c>
      <c r="F941" s="17">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45">
      <c r="B942" t="s">
        <v>964</v>
      </c>
      <c r="C942" t="s">
        <v>12</v>
      </c>
      <c r="D942">
        <v>17</v>
      </c>
      <c r="E942" s="16" t="s">
        <v>10</v>
      </c>
      <c r="F942" s="17">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45">
      <c r="B943" t="s">
        <v>965</v>
      </c>
      <c r="C943" t="s">
        <v>8</v>
      </c>
      <c r="D943">
        <v>104</v>
      </c>
      <c r="E943" s="16" t="s">
        <v>13</v>
      </c>
      <c r="F943" s="17">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45">
      <c r="B944" t="s">
        <v>966</v>
      </c>
      <c r="C944" t="s">
        <v>19</v>
      </c>
      <c r="D944">
        <v>96</v>
      </c>
      <c r="E944" s="16" t="s">
        <v>11</v>
      </c>
      <c r="F944" s="17">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45">
      <c r="B945" t="s">
        <v>967</v>
      </c>
      <c r="C945" t="s">
        <v>22</v>
      </c>
      <c r="D945">
        <v>83</v>
      </c>
      <c r="E945" s="16" t="s">
        <v>9</v>
      </c>
      <c r="F945" s="17">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45">
      <c r="B946" t="s">
        <v>968</v>
      </c>
      <c r="C946" t="s">
        <v>23</v>
      </c>
      <c r="D946">
        <v>80</v>
      </c>
      <c r="E946" s="16" t="s">
        <v>10</v>
      </c>
      <c r="F946" s="17">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45">
      <c r="B947" t="s">
        <v>969</v>
      </c>
      <c r="C947" t="s">
        <v>22</v>
      </c>
      <c r="D947">
        <v>152</v>
      </c>
      <c r="E947" s="16" t="s">
        <v>9</v>
      </c>
      <c r="F947" s="17">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45">
      <c r="B948" t="s">
        <v>970</v>
      </c>
      <c r="C948" t="s">
        <v>18</v>
      </c>
      <c r="D948">
        <v>34</v>
      </c>
      <c r="E948" s="16" t="s">
        <v>11</v>
      </c>
      <c r="F948" s="17">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45">
      <c r="B949" t="s">
        <v>971</v>
      </c>
      <c r="C949" t="s">
        <v>14</v>
      </c>
      <c r="D949">
        <v>2</v>
      </c>
      <c r="E949" s="16" t="s">
        <v>6</v>
      </c>
      <c r="F949" s="17">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45">
      <c r="B950" t="s">
        <v>972</v>
      </c>
      <c r="C950" t="s">
        <v>23</v>
      </c>
      <c r="D950">
        <v>140</v>
      </c>
      <c r="E950" s="16" t="s">
        <v>11</v>
      </c>
      <c r="F950" s="17">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45">
      <c r="B951" t="s">
        <v>973</v>
      </c>
      <c r="C951" t="s">
        <v>12</v>
      </c>
      <c r="D951">
        <v>126</v>
      </c>
      <c r="E951" s="16" t="s">
        <v>13</v>
      </c>
      <c r="F951" s="17">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45">
      <c r="B952" t="s">
        <v>974</v>
      </c>
      <c r="C952" t="s">
        <v>21</v>
      </c>
      <c r="D952">
        <v>79</v>
      </c>
      <c r="E952" s="16" t="s">
        <v>6</v>
      </c>
      <c r="F952" s="17">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45">
      <c r="B953" t="s">
        <v>975</v>
      </c>
      <c r="C953" t="s">
        <v>12</v>
      </c>
      <c r="D953">
        <v>133</v>
      </c>
      <c r="E953" s="16" t="s">
        <v>13</v>
      </c>
      <c r="F953" s="17">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45">
      <c r="B954" t="s">
        <v>976</v>
      </c>
      <c r="C954" t="s">
        <v>18</v>
      </c>
      <c r="D954">
        <v>97</v>
      </c>
      <c r="E954" s="16" t="s">
        <v>10</v>
      </c>
      <c r="F954" s="17">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45">
      <c r="B955" t="s">
        <v>977</v>
      </c>
      <c r="C955" t="s">
        <v>21</v>
      </c>
      <c r="D955">
        <v>102</v>
      </c>
      <c r="E955" s="16" t="s">
        <v>9</v>
      </c>
      <c r="F955" s="17">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45">
      <c r="B956" t="s">
        <v>978</v>
      </c>
      <c r="C956" t="s">
        <v>7</v>
      </c>
      <c r="D956">
        <v>62</v>
      </c>
      <c r="E956" s="16" t="s">
        <v>10</v>
      </c>
      <c r="F956" s="17">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45">
      <c r="B957" t="s">
        <v>979</v>
      </c>
      <c r="C957" t="s">
        <v>12</v>
      </c>
      <c r="D957">
        <v>149</v>
      </c>
      <c r="E957" s="16" t="s">
        <v>9</v>
      </c>
      <c r="F957" s="17">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45">
      <c r="B958" t="s">
        <v>980</v>
      </c>
      <c r="C958" t="s">
        <v>14</v>
      </c>
      <c r="D958">
        <v>133</v>
      </c>
      <c r="E958" s="16" t="s">
        <v>10</v>
      </c>
      <c r="F958" s="17">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45">
      <c r="B959" t="s">
        <v>981</v>
      </c>
      <c r="C959" t="s">
        <v>21</v>
      </c>
      <c r="D959">
        <v>51</v>
      </c>
      <c r="E959" s="16" t="s">
        <v>6</v>
      </c>
      <c r="F959" s="17">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45">
      <c r="B960" t="s">
        <v>982</v>
      </c>
      <c r="C960" t="s">
        <v>7</v>
      </c>
      <c r="D960">
        <v>110</v>
      </c>
      <c r="E960" s="16" t="s">
        <v>10</v>
      </c>
      <c r="F960" s="17">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45">
      <c r="B961" t="s">
        <v>983</v>
      </c>
      <c r="C961" t="s">
        <v>18</v>
      </c>
      <c r="D961">
        <v>38</v>
      </c>
      <c r="E961" s="16" t="s">
        <v>13</v>
      </c>
      <c r="F961" s="17">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45">
      <c r="B962" t="s">
        <v>984</v>
      </c>
      <c r="C962" t="s">
        <v>14</v>
      </c>
      <c r="D962">
        <v>78</v>
      </c>
      <c r="E962" s="16" t="s">
        <v>13</v>
      </c>
      <c r="F962" s="17">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45">
      <c r="B963" t="s">
        <v>985</v>
      </c>
      <c r="C963" t="s">
        <v>18</v>
      </c>
      <c r="D963">
        <v>25</v>
      </c>
      <c r="E963" s="16" t="s">
        <v>9</v>
      </c>
      <c r="F963" s="17">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45">
      <c r="B964" t="s">
        <v>986</v>
      </c>
      <c r="C964" t="s">
        <v>16</v>
      </c>
      <c r="D964">
        <v>50</v>
      </c>
      <c r="E964" s="16" t="s">
        <v>6</v>
      </c>
      <c r="F964" s="17">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45">
      <c r="B965" t="s">
        <v>987</v>
      </c>
      <c r="C965" t="s">
        <v>18</v>
      </c>
      <c r="D965">
        <v>103</v>
      </c>
      <c r="E965" s="16" t="s">
        <v>9</v>
      </c>
      <c r="F965" s="17">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45">
      <c r="B966" t="s">
        <v>988</v>
      </c>
      <c r="C966" t="s">
        <v>22</v>
      </c>
      <c r="D966">
        <v>63</v>
      </c>
      <c r="E966" s="16" t="s">
        <v>11</v>
      </c>
      <c r="F966" s="17">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45">
      <c r="B967" t="s">
        <v>989</v>
      </c>
      <c r="C967" t="s">
        <v>16</v>
      </c>
      <c r="D967">
        <v>96</v>
      </c>
      <c r="E967" s="16" t="s">
        <v>6</v>
      </c>
      <c r="F967" s="17">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45">
      <c r="B968" t="s">
        <v>990</v>
      </c>
      <c r="C968" t="s">
        <v>23</v>
      </c>
      <c r="D968">
        <v>94</v>
      </c>
      <c r="E968" s="16" t="s">
        <v>9</v>
      </c>
      <c r="F968" s="17">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45">
      <c r="B969" t="s">
        <v>991</v>
      </c>
      <c r="C969" t="s">
        <v>7</v>
      </c>
      <c r="D969">
        <v>46</v>
      </c>
      <c r="E969" s="16" t="s">
        <v>13</v>
      </c>
      <c r="F969" s="17">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45">
      <c r="B970" t="s">
        <v>992</v>
      </c>
      <c r="C970" t="s">
        <v>5</v>
      </c>
      <c r="D970">
        <v>127</v>
      </c>
      <c r="E970" s="16" t="s">
        <v>6</v>
      </c>
      <c r="F970" s="17">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45">
      <c r="B971" t="s">
        <v>993</v>
      </c>
      <c r="C971" t="s">
        <v>15</v>
      </c>
      <c r="D971">
        <v>96</v>
      </c>
      <c r="E971" s="16" t="s">
        <v>13</v>
      </c>
      <c r="F971" s="17">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45">
      <c r="B972" t="s">
        <v>1003</v>
      </c>
      <c r="C972" t="s">
        <v>17</v>
      </c>
      <c r="D972">
        <v>151</v>
      </c>
      <c r="E972" s="16" t="s">
        <v>9</v>
      </c>
      <c r="F972" s="17">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45">
      <c r="B973" t="s">
        <v>1004</v>
      </c>
      <c r="C973" t="s">
        <v>5</v>
      </c>
      <c r="D973">
        <v>158</v>
      </c>
      <c r="E973" s="16" t="s">
        <v>10</v>
      </c>
      <c r="F973" s="17">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45">
      <c r="B974" t="s">
        <v>1005</v>
      </c>
      <c r="C974" t="s">
        <v>23</v>
      </c>
      <c r="D974">
        <v>45</v>
      </c>
      <c r="E974" s="16" t="s">
        <v>10</v>
      </c>
      <c r="F974" s="17">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45">
      <c r="B975" t="s">
        <v>1006</v>
      </c>
      <c r="C975" t="s">
        <v>24</v>
      </c>
      <c r="D975">
        <v>141</v>
      </c>
      <c r="E975" s="16" t="s">
        <v>10</v>
      </c>
      <c r="F975" s="17">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45">
      <c r="B976" t="s">
        <v>1007</v>
      </c>
      <c r="C976" t="s">
        <v>18</v>
      </c>
      <c r="D976">
        <v>147</v>
      </c>
      <c r="E976" s="16" t="s">
        <v>13</v>
      </c>
      <c r="F976" s="17">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45">
      <c r="B977" t="s">
        <v>1008</v>
      </c>
      <c r="C977" t="s">
        <v>19</v>
      </c>
      <c r="D977">
        <v>126</v>
      </c>
      <c r="E977" s="16" t="s">
        <v>13</v>
      </c>
      <c r="F977" s="17">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45">
      <c r="B978" t="s">
        <v>1009</v>
      </c>
      <c r="C978" t="s">
        <v>23</v>
      </c>
      <c r="D978">
        <v>126</v>
      </c>
      <c r="E978" s="16" t="s">
        <v>11</v>
      </c>
      <c r="F978" s="17">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45">
      <c r="B979" t="s">
        <v>1010</v>
      </c>
      <c r="C979" t="s">
        <v>14</v>
      </c>
      <c r="D979">
        <v>32</v>
      </c>
      <c r="E979" s="16" t="s">
        <v>13</v>
      </c>
      <c r="F979" s="17">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45">
      <c r="B980" t="s">
        <v>1011</v>
      </c>
      <c r="C980" t="s">
        <v>23</v>
      </c>
      <c r="D980">
        <v>84</v>
      </c>
      <c r="E980" s="16" t="s">
        <v>6</v>
      </c>
      <c r="F980" s="17">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45">
      <c r="B981" t="s">
        <v>1012</v>
      </c>
      <c r="C981" t="s">
        <v>22</v>
      </c>
      <c r="D981">
        <v>120</v>
      </c>
      <c r="E981" s="16" t="s">
        <v>11</v>
      </c>
      <c r="F981" s="17">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45">
      <c r="B982" t="s">
        <v>1013</v>
      </c>
      <c r="C982" t="s">
        <v>8</v>
      </c>
      <c r="D982">
        <v>93</v>
      </c>
      <c r="E982" s="16" t="s">
        <v>13</v>
      </c>
      <c r="F982" s="17">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45">
      <c r="B983" t="s">
        <v>1014</v>
      </c>
      <c r="C983" t="s">
        <v>15</v>
      </c>
      <c r="D983">
        <v>76</v>
      </c>
      <c r="E983" s="16" t="s">
        <v>9</v>
      </c>
      <c r="F983" s="17">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45">
      <c r="B984" t="s">
        <v>1015</v>
      </c>
      <c r="C984" t="s">
        <v>5</v>
      </c>
      <c r="D984">
        <v>89</v>
      </c>
      <c r="E984" s="16" t="s">
        <v>13</v>
      </c>
      <c r="F984" s="17">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45">
      <c r="B985" t="s">
        <v>1016</v>
      </c>
      <c r="C985" t="s">
        <v>21</v>
      </c>
      <c r="D985">
        <v>91</v>
      </c>
      <c r="E985" s="16" t="s">
        <v>6</v>
      </c>
      <c r="F985" s="17">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45">
      <c r="B986" t="s">
        <v>1017</v>
      </c>
      <c r="C986" t="s">
        <v>7</v>
      </c>
      <c r="D986">
        <v>7</v>
      </c>
      <c r="E986" s="16" t="s">
        <v>10</v>
      </c>
      <c r="F986" s="17">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45">
      <c r="B987" t="s">
        <v>1018</v>
      </c>
      <c r="C987" t="s">
        <v>14</v>
      </c>
      <c r="D987">
        <v>140</v>
      </c>
      <c r="E987" s="16" t="s">
        <v>10</v>
      </c>
      <c r="F987" s="17">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45">
      <c r="B988" t="s">
        <v>1019</v>
      </c>
      <c r="C988" t="s">
        <v>12</v>
      </c>
      <c r="D988">
        <v>58</v>
      </c>
      <c r="E988" s="16" t="s">
        <v>11</v>
      </c>
      <c r="F988" s="17">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45">
      <c r="B989" t="s">
        <v>1020</v>
      </c>
      <c r="C989" t="s">
        <v>20</v>
      </c>
      <c r="D989">
        <v>90</v>
      </c>
      <c r="E989" s="16" t="s">
        <v>9</v>
      </c>
      <c r="F989" s="17">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45">
      <c r="B990" t="s">
        <v>1021</v>
      </c>
      <c r="C990" t="s">
        <v>20</v>
      </c>
      <c r="D990">
        <v>106</v>
      </c>
      <c r="E990" s="16" t="s">
        <v>13</v>
      </c>
      <c r="F990" s="17">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45">
      <c r="B991" t="s">
        <v>1022</v>
      </c>
      <c r="C991" t="s">
        <v>22</v>
      </c>
      <c r="D991">
        <v>72</v>
      </c>
      <c r="E991" s="16" t="s">
        <v>10</v>
      </c>
      <c r="F991" s="17">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45">
      <c r="B992" t="s">
        <v>1023</v>
      </c>
      <c r="C992" t="s">
        <v>7</v>
      </c>
      <c r="D992">
        <v>124</v>
      </c>
      <c r="E992" s="16" t="s">
        <v>10</v>
      </c>
      <c r="F992" s="17">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45">
      <c r="B993" t="s">
        <v>1024</v>
      </c>
      <c r="C993" t="s">
        <v>24</v>
      </c>
      <c r="D993">
        <v>86</v>
      </c>
      <c r="E993" s="16" t="s">
        <v>6</v>
      </c>
      <c r="F993" s="17">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45">
      <c r="B994" t="s">
        <v>1025</v>
      </c>
      <c r="C994" t="s">
        <v>23</v>
      </c>
      <c r="D994">
        <v>164</v>
      </c>
      <c r="E994" s="16" t="s">
        <v>6</v>
      </c>
      <c r="F994" s="17">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45">
      <c r="B995" t="s">
        <v>1026</v>
      </c>
      <c r="C995" t="s">
        <v>8</v>
      </c>
      <c r="D995">
        <v>40</v>
      </c>
      <c r="E995" s="16" t="s">
        <v>9</v>
      </c>
      <c r="F995" s="17">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45">
      <c r="B996" t="s">
        <v>1027</v>
      </c>
      <c r="C996" t="s">
        <v>21</v>
      </c>
      <c r="D996">
        <v>76</v>
      </c>
      <c r="E996" s="16" t="s">
        <v>11</v>
      </c>
      <c r="F996" s="17">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45">
      <c r="B997" t="s">
        <v>1028</v>
      </c>
      <c r="C997" t="s">
        <v>7</v>
      </c>
      <c r="D997">
        <v>95</v>
      </c>
      <c r="E997" s="16" t="s">
        <v>13</v>
      </c>
      <c r="F997" s="17">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45">
      <c r="B998" t="s">
        <v>1029</v>
      </c>
      <c r="C998" t="s">
        <v>21</v>
      </c>
      <c r="D998">
        <v>113</v>
      </c>
      <c r="E998" s="16" t="s">
        <v>10</v>
      </c>
      <c r="F998" s="17">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45">
      <c r="B999" t="s">
        <v>1030</v>
      </c>
      <c r="C999" t="s">
        <v>24</v>
      </c>
      <c r="D999">
        <v>81</v>
      </c>
      <c r="E999" s="16" t="s">
        <v>10</v>
      </c>
      <c r="F999" s="17">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45">
      <c r="B1000" t="s">
        <v>1031</v>
      </c>
      <c r="C1000" t="s">
        <v>15</v>
      </c>
      <c r="D1000">
        <v>127</v>
      </c>
      <c r="E1000" s="16" t="s">
        <v>13</v>
      </c>
      <c r="F1000" s="17">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45">
      <c r="B1001" t="s">
        <v>1032</v>
      </c>
      <c r="C1001" t="s">
        <v>14</v>
      </c>
      <c r="D1001">
        <v>146</v>
      </c>
      <c r="E1001" s="16" t="s">
        <v>10</v>
      </c>
      <c r="F1001" s="17">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45">
      <c r="B1002" t="s">
        <v>1033</v>
      </c>
      <c r="C1002" t="s">
        <v>18</v>
      </c>
      <c r="D1002">
        <v>123</v>
      </c>
      <c r="E1002" s="16" t="s">
        <v>10</v>
      </c>
      <c r="F1002" s="17">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45">
      <c r="B1003" t="s">
        <v>1034</v>
      </c>
      <c r="C1003" t="s">
        <v>22</v>
      </c>
      <c r="D1003">
        <v>114</v>
      </c>
      <c r="E1003" s="16" t="s">
        <v>11</v>
      </c>
      <c r="F1003" s="17">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3B34-DB11-422C-B6C8-F8F10840184F}">
  <dimension ref="A3:K125"/>
  <sheetViews>
    <sheetView topLeftCell="A111" workbookViewId="0">
      <selection activeCell="A119" sqref="A119"/>
    </sheetView>
  </sheetViews>
  <sheetFormatPr defaultRowHeight="14.25" x14ac:dyDescent="0.45"/>
  <cols>
    <col min="1" max="1" width="13" bestFit="1" customWidth="1"/>
    <col min="2" max="2" width="10.1328125" bestFit="1" customWidth="1"/>
    <col min="3" max="3" width="11.1328125" bestFit="1" customWidth="1"/>
    <col min="4" max="4" width="13.86328125" bestFit="1" customWidth="1"/>
    <col min="5" max="5" width="8" bestFit="1" customWidth="1"/>
    <col min="6" max="6" width="4.73046875" bestFit="1" customWidth="1"/>
    <col min="7" max="7" width="13.06640625" bestFit="1" customWidth="1"/>
    <col min="8" max="8" width="13" bestFit="1" customWidth="1"/>
    <col min="9" max="9" width="10.1328125" bestFit="1" customWidth="1"/>
    <col min="10" max="10" width="8.19921875" bestFit="1" customWidth="1"/>
  </cols>
  <sheetData>
    <row r="3" spans="1:5" x14ac:dyDescent="0.45">
      <c r="A3" s="2" t="s">
        <v>1041</v>
      </c>
      <c r="B3" s="2" t="s">
        <v>1042</v>
      </c>
      <c r="C3" s="2" t="s">
        <v>1043</v>
      </c>
      <c r="D3" s="2" t="s">
        <v>1044</v>
      </c>
      <c r="E3" s="2" t="s">
        <v>1045</v>
      </c>
    </row>
    <row r="4" spans="1:5" x14ac:dyDescent="0.45">
      <c r="A4" s="22">
        <v>1000</v>
      </c>
      <c r="B4" s="23">
        <v>96623</v>
      </c>
      <c r="C4" s="22">
        <v>89850</v>
      </c>
      <c r="D4" s="24">
        <v>3.8854000000000033</v>
      </c>
      <c r="E4" s="22">
        <v>307</v>
      </c>
    </row>
    <row r="12" spans="1:5" x14ac:dyDescent="0.45">
      <c r="A12" s="2" t="s">
        <v>1041</v>
      </c>
      <c r="B12" s="2" t="s">
        <v>1042</v>
      </c>
      <c r="C12" s="2" t="s">
        <v>1043</v>
      </c>
      <c r="D12" s="2" t="s">
        <v>1044</v>
      </c>
      <c r="E12" s="2" t="s">
        <v>1045</v>
      </c>
    </row>
    <row r="13" spans="1:5" x14ac:dyDescent="0.45">
      <c r="A13" s="22">
        <v>207</v>
      </c>
      <c r="B13" s="23">
        <v>20872</v>
      </c>
      <c r="C13" s="22">
        <v>17700</v>
      </c>
      <c r="D13" s="24">
        <v>3.8589371980676304</v>
      </c>
      <c r="E13" s="22">
        <v>60</v>
      </c>
    </row>
    <row r="24" spans="1:9" x14ac:dyDescent="0.45">
      <c r="A24" s="25" t="s">
        <v>1046</v>
      </c>
      <c r="B24" s="2" t="s">
        <v>1041</v>
      </c>
      <c r="C24" s="2" t="s">
        <v>1060</v>
      </c>
      <c r="H24" s="25" t="s">
        <v>1046</v>
      </c>
      <c r="I24" s="2" t="s">
        <v>1041</v>
      </c>
    </row>
    <row r="25" spans="1:9" x14ac:dyDescent="0.45">
      <c r="A25" s="27" t="s">
        <v>1048</v>
      </c>
      <c r="B25" s="22">
        <v>13</v>
      </c>
      <c r="C25" s="22">
        <v>13</v>
      </c>
      <c r="H25" s="27" t="s">
        <v>1063</v>
      </c>
      <c r="I25" s="22">
        <v>25</v>
      </c>
    </row>
    <row r="26" spans="1:9" x14ac:dyDescent="0.45">
      <c r="A26" s="27" t="s">
        <v>1049</v>
      </c>
      <c r="B26" s="22">
        <v>13</v>
      </c>
      <c r="C26" s="22">
        <v>13</v>
      </c>
      <c r="H26" s="27" t="s">
        <v>1061</v>
      </c>
      <c r="I26" s="22">
        <v>27</v>
      </c>
    </row>
    <row r="27" spans="1:9" x14ac:dyDescent="0.45">
      <c r="A27" s="27" t="s">
        <v>1050</v>
      </c>
      <c r="B27" s="22">
        <v>28</v>
      </c>
      <c r="C27" s="22">
        <v>28</v>
      </c>
      <c r="H27" s="27" t="s">
        <v>1065</v>
      </c>
      <c r="I27" s="22">
        <v>27</v>
      </c>
    </row>
    <row r="28" spans="1:9" x14ac:dyDescent="0.45">
      <c r="A28" s="27" t="s">
        <v>1051</v>
      </c>
      <c r="B28" s="22">
        <v>24</v>
      </c>
      <c r="C28" s="22">
        <v>24</v>
      </c>
      <c r="H28" s="27" t="s">
        <v>1067</v>
      </c>
      <c r="I28" s="22">
        <v>38</v>
      </c>
    </row>
    <row r="29" spans="1:9" x14ac:dyDescent="0.45">
      <c r="A29" s="27" t="s">
        <v>1052</v>
      </c>
      <c r="B29" s="22">
        <v>23</v>
      </c>
      <c r="C29" s="22">
        <v>23</v>
      </c>
      <c r="H29" s="27" t="s">
        <v>1066</v>
      </c>
      <c r="I29" s="22">
        <v>26</v>
      </c>
    </row>
    <row r="30" spans="1:9" x14ac:dyDescent="0.45">
      <c r="A30" s="27" t="s">
        <v>1053</v>
      </c>
      <c r="B30" s="22">
        <v>17</v>
      </c>
      <c r="C30" s="22">
        <v>17</v>
      </c>
      <c r="H30" s="27" t="s">
        <v>1062</v>
      </c>
      <c r="I30" s="22">
        <v>34</v>
      </c>
    </row>
    <row r="31" spans="1:9" x14ac:dyDescent="0.45">
      <c r="A31" s="27" t="s">
        <v>1054</v>
      </c>
      <c r="B31" s="22">
        <v>11</v>
      </c>
      <c r="C31" s="22">
        <v>11</v>
      </c>
      <c r="H31" s="27" t="s">
        <v>1064</v>
      </c>
      <c r="I31" s="22">
        <v>30</v>
      </c>
    </row>
    <row r="32" spans="1:9" x14ac:dyDescent="0.45">
      <c r="A32" s="27" t="s">
        <v>1055</v>
      </c>
      <c r="B32" s="22">
        <v>11</v>
      </c>
      <c r="C32" s="22">
        <v>11</v>
      </c>
      <c r="H32" s="27" t="s">
        <v>1047</v>
      </c>
      <c r="I32" s="22">
        <v>207</v>
      </c>
    </row>
    <row r="33" spans="1:11" x14ac:dyDescent="0.45">
      <c r="A33" s="27" t="s">
        <v>1056</v>
      </c>
      <c r="B33" s="22">
        <v>14</v>
      </c>
      <c r="C33" s="22">
        <v>14</v>
      </c>
    </row>
    <row r="34" spans="1:11" x14ac:dyDescent="0.45">
      <c r="A34" s="27" t="s">
        <v>1057</v>
      </c>
      <c r="B34" s="22">
        <v>30</v>
      </c>
      <c r="C34" s="22">
        <v>30</v>
      </c>
    </row>
    <row r="35" spans="1:11" x14ac:dyDescent="0.45">
      <c r="A35" s="27" t="s">
        <v>1058</v>
      </c>
      <c r="B35" s="22">
        <v>14</v>
      </c>
      <c r="C35" s="22">
        <v>14</v>
      </c>
    </row>
    <row r="36" spans="1:11" x14ac:dyDescent="0.45">
      <c r="A36" s="27" t="s">
        <v>1059</v>
      </c>
      <c r="B36" s="22">
        <v>9</v>
      </c>
      <c r="C36" s="22">
        <v>9</v>
      </c>
    </row>
    <row r="37" spans="1:11" x14ac:dyDescent="0.45">
      <c r="A37" s="27" t="s">
        <v>1047</v>
      </c>
      <c r="B37" s="22">
        <v>207</v>
      </c>
      <c r="C37" s="22">
        <v>207</v>
      </c>
    </row>
    <row r="44" spans="1:11" x14ac:dyDescent="0.45">
      <c r="I44" t="s">
        <v>1075</v>
      </c>
      <c r="J44" t="str">
        <f>A59</f>
        <v>R03</v>
      </c>
    </row>
    <row r="45" spans="1:11" x14ac:dyDescent="0.45">
      <c r="A45" s="21" t="s">
        <v>1046</v>
      </c>
      <c r="B45" t="s">
        <v>1041</v>
      </c>
      <c r="C45" t="s">
        <v>1042</v>
      </c>
      <c r="G45" t="s">
        <v>1069</v>
      </c>
    </row>
    <row r="46" spans="1:11" x14ac:dyDescent="0.45">
      <c r="A46" s="26" t="s">
        <v>11</v>
      </c>
      <c r="B46" s="19">
        <v>189</v>
      </c>
      <c r="C46" s="20">
        <v>18415</v>
      </c>
    </row>
    <row r="47" spans="1:11" x14ac:dyDescent="0.45">
      <c r="A47" s="26" t="s">
        <v>9</v>
      </c>
      <c r="B47" s="19">
        <v>218</v>
      </c>
      <c r="C47" s="20">
        <v>20581</v>
      </c>
      <c r="G47" t="s">
        <v>1072</v>
      </c>
      <c r="H47" t="s">
        <v>1070</v>
      </c>
      <c r="I47" t="s">
        <v>1071</v>
      </c>
      <c r="J47" t="s">
        <v>1073</v>
      </c>
      <c r="K47" t="s">
        <v>1074</v>
      </c>
    </row>
    <row r="48" spans="1:11" x14ac:dyDescent="0.45">
      <c r="A48" s="26" t="s">
        <v>6</v>
      </c>
      <c r="B48" s="19">
        <v>207</v>
      </c>
      <c r="C48" s="20">
        <v>20872</v>
      </c>
      <c r="G48" s="26" t="s">
        <v>11</v>
      </c>
      <c r="H48" s="19">
        <v>189</v>
      </c>
      <c r="I48" s="28">
        <v>18415</v>
      </c>
      <c r="J48" t="e">
        <f>IF($G48=$J$44,H48,NA())</f>
        <v>#N/A</v>
      </c>
      <c r="K48" t="e">
        <f>IF($G48=$J$44,I48,NA())</f>
        <v>#N/A</v>
      </c>
    </row>
    <row r="49" spans="1:11" x14ac:dyDescent="0.45">
      <c r="A49" s="26" t="s">
        <v>13</v>
      </c>
      <c r="B49" s="19">
        <v>186</v>
      </c>
      <c r="C49" s="20">
        <v>16651</v>
      </c>
      <c r="G49" s="26" t="s">
        <v>9</v>
      </c>
      <c r="H49" s="19">
        <v>218</v>
      </c>
      <c r="I49" s="28">
        <v>20581</v>
      </c>
      <c r="J49" t="e">
        <f t="shared" ref="J49:J52" si="0">IF($G49=$J$44,H49,NA())</f>
        <v>#N/A</v>
      </c>
      <c r="K49" t="e">
        <f t="shared" ref="K49:K52" si="1">IF($G49=$J$44,I49,NA())</f>
        <v>#N/A</v>
      </c>
    </row>
    <row r="50" spans="1:11" x14ac:dyDescent="0.45">
      <c r="A50" s="26" t="s">
        <v>10</v>
      </c>
      <c r="B50" s="19">
        <v>200</v>
      </c>
      <c r="C50" s="20">
        <v>20104</v>
      </c>
      <c r="G50" s="26" t="s">
        <v>6</v>
      </c>
      <c r="H50" s="19">
        <v>207</v>
      </c>
      <c r="I50" s="28">
        <v>20872</v>
      </c>
      <c r="J50">
        <f t="shared" si="0"/>
        <v>207</v>
      </c>
      <c r="K50">
        <f t="shared" si="1"/>
        <v>20872</v>
      </c>
    </row>
    <row r="51" spans="1:11" x14ac:dyDescent="0.45">
      <c r="A51" s="26" t="s">
        <v>1047</v>
      </c>
      <c r="B51" s="19">
        <v>1000</v>
      </c>
      <c r="C51" s="20">
        <v>96623</v>
      </c>
      <c r="G51" s="26" t="s">
        <v>13</v>
      </c>
      <c r="H51" s="19">
        <v>186</v>
      </c>
      <c r="I51" s="28">
        <v>16651</v>
      </c>
      <c r="J51" t="e">
        <f t="shared" si="0"/>
        <v>#N/A</v>
      </c>
      <c r="K51" t="e">
        <f t="shared" si="1"/>
        <v>#N/A</v>
      </c>
    </row>
    <row r="52" spans="1:11" x14ac:dyDescent="0.45">
      <c r="G52" s="26" t="s">
        <v>10</v>
      </c>
      <c r="H52" s="19">
        <v>200</v>
      </c>
      <c r="I52" s="28">
        <v>20104</v>
      </c>
      <c r="J52" t="e">
        <f t="shared" si="0"/>
        <v>#N/A</v>
      </c>
      <c r="K52" t="e">
        <f t="shared" si="1"/>
        <v>#N/A</v>
      </c>
    </row>
    <row r="55" spans="1:11" x14ac:dyDescent="0.45">
      <c r="G55" s="13" t="s">
        <v>1078</v>
      </c>
    </row>
    <row r="56" spans="1:11" x14ac:dyDescent="0.45">
      <c r="G56" t="s">
        <v>1079</v>
      </c>
      <c r="H56" s="31">
        <f>A13/A4</f>
        <v>0.20699999999999999</v>
      </c>
    </row>
    <row r="57" spans="1:11" x14ac:dyDescent="0.45">
      <c r="G57" t="s">
        <v>1070</v>
      </c>
      <c r="H57">
        <f>_xlfn.XLOOKUP(A59,G48:G52,H48:H52)</f>
        <v>207</v>
      </c>
    </row>
    <row r="58" spans="1:11" x14ac:dyDescent="0.45">
      <c r="A58" s="21" t="s">
        <v>1046</v>
      </c>
      <c r="G58" t="s">
        <v>1071</v>
      </c>
      <c r="H58">
        <f>_xlfn.XLOOKUP(A59,G48:G52,I48:I52)</f>
        <v>20872</v>
      </c>
    </row>
    <row r="59" spans="1:11" x14ac:dyDescent="0.45">
      <c r="A59" s="29" t="s">
        <v>6</v>
      </c>
      <c r="G59" t="s">
        <v>1080</v>
      </c>
      <c r="H59">
        <f>_xlfn.RANK.AVG(H57,H48:H52)</f>
        <v>2</v>
      </c>
    </row>
    <row r="60" spans="1:11" x14ac:dyDescent="0.45">
      <c r="G60" t="s">
        <v>1081</v>
      </c>
      <c r="H60">
        <f>_xlfn.RANK.AVG(H58,I48:I52)</f>
        <v>1</v>
      </c>
    </row>
    <row r="63" spans="1:11" x14ac:dyDescent="0.45">
      <c r="G63" t="s">
        <v>1082</v>
      </c>
    </row>
    <row r="64" spans="1:11" x14ac:dyDescent="0.45">
      <c r="H64" t="str">
        <f>"% of calls: "&amp;TEXT(H56,"0%")</f>
        <v>% of calls: 21%</v>
      </c>
    </row>
    <row r="65" spans="1:8" x14ac:dyDescent="0.45">
      <c r="H65" t="str">
        <f>IF(COUNT(A59:A63)&gt;1,"","Call Rank: "&amp;H59)</f>
        <v>Call Rank: 2</v>
      </c>
    </row>
    <row r="66" spans="1:8" x14ac:dyDescent="0.45">
      <c r="H66" t="str">
        <f>IF(COUNT(A59:A63)&gt;1,"","Amount Rank: "&amp;H60)</f>
        <v>Amount Rank: 1</v>
      </c>
    </row>
    <row r="67" spans="1:8" x14ac:dyDescent="0.45">
      <c r="A67" s="21" t="s">
        <v>1041</v>
      </c>
      <c r="B67" s="21" t="s">
        <v>1076</v>
      </c>
    </row>
    <row r="68" spans="1:8" x14ac:dyDescent="0.45">
      <c r="A68" s="21" t="s">
        <v>1046</v>
      </c>
      <c r="B68" t="s">
        <v>999</v>
      </c>
      <c r="C68" t="s">
        <v>998</v>
      </c>
      <c r="D68" t="s">
        <v>1047</v>
      </c>
      <c r="G68" t="s">
        <v>1083</v>
      </c>
    </row>
    <row r="69" spans="1:8" x14ac:dyDescent="0.45">
      <c r="A69" s="26" t="s">
        <v>1002</v>
      </c>
      <c r="B69" s="19">
        <v>144</v>
      </c>
      <c r="C69" s="19">
        <v>132</v>
      </c>
      <c r="D69" s="19">
        <v>276</v>
      </c>
      <c r="H69" t="e" vm="1">
        <f>IF(COUNT(A59:A63)&gt;1,"",_xlfn.XLOOKUP(A59,Assets!$E$3:$E$7,Assets!$F$3:$F$7))</f>
        <v>#VALUE!</v>
      </c>
    </row>
    <row r="70" spans="1:8" x14ac:dyDescent="0.45">
      <c r="A70" s="26" t="s">
        <v>1001</v>
      </c>
      <c r="B70" s="19">
        <v>326</v>
      </c>
      <c r="C70" s="19">
        <v>63</v>
      </c>
      <c r="D70" s="19">
        <v>389</v>
      </c>
    </row>
    <row r="71" spans="1:8" x14ac:dyDescent="0.45">
      <c r="A71" s="26" t="s">
        <v>1000</v>
      </c>
      <c r="B71" s="19">
        <v>129</v>
      </c>
      <c r="C71" s="19">
        <v>206</v>
      </c>
      <c r="D71" s="19">
        <v>335</v>
      </c>
    </row>
    <row r="72" spans="1:8" x14ac:dyDescent="0.45">
      <c r="A72" s="26" t="s">
        <v>1047</v>
      </c>
      <c r="B72" s="19">
        <v>599</v>
      </c>
      <c r="C72" s="19">
        <v>401</v>
      </c>
      <c r="D72" s="19">
        <v>1000</v>
      </c>
    </row>
    <row r="78" spans="1:8" x14ac:dyDescent="0.45">
      <c r="A78" s="21" t="s">
        <v>1046</v>
      </c>
      <c r="B78" t="s">
        <v>1041</v>
      </c>
    </row>
    <row r="79" spans="1:8" x14ac:dyDescent="0.45">
      <c r="A79" s="26">
        <v>0</v>
      </c>
      <c r="B79" s="19">
        <v>1</v>
      </c>
    </row>
    <row r="80" spans="1:8" x14ac:dyDescent="0.45">
      <c r="A80" s="26">
        <v>1</v>
      </c>
      <c r="B80" s="19">
        <v>1</v>
      </c>
    </row>
    <row r="81" spans="1:7" x14ac:dyDescent="0.45">
      <c r="A81" s="26">
        <v>2</v>
      </c>
      <c r="B81" s="19">
        <v>11</v>
      </c>
    </row>
    <row r="82" spans="1:7" x14ac:dyDescent="0.45">
      <c r="A82" s="26">
        <v>3</v>
      </c>
      <c r="B82" s="19">
        <v>46</v>
      </c>
    </row>
    <row r="83" spans="1:7" x14ac:dyDescent="0.45">
      <c r="A83" s="26">
        <v>4</v>
      </c>
      <c r="B83" s="19">
        <v>88</v>
      </c>
    </row>
    <row r="84" spans="1:7" x14ac:dyDescent="0.45">
      <c r="A84" s="26">
        <v>5</v>
      </c>
      <c r="B84" s="19">
        <v>60</v>
      </c>
    </row>
    <row r="85" spans="1:7" x14ac:dyDescent="0.45">
      <c r="A85" s="26" t="s">
        <v>1047</v>
      </c>
      <c r="B85" s="19">
        <v>207</v>
      </c>
    </row>
    <row r="93" spans="1:7" x14ac:dyDescent="0.45">
      <c r="A93" s="21" t="s">
        <v>1068</v>
      </c>
      <c r="B93" s="21" t="s">
        <v>1076</v>
      </c>
    </row>
    <row r="94" spans="1:7" x14ac:dyDescent="0.45">
      <c r="A94" s="21" t="s">
        <v>1046</v>
      </c>
      <c r="B94" t="s">
        <v>11</v>
      </c>
      <c r="C94" t="s">
        <v>9</v>
      </c>
      <c r="D94" t="s">
        <v>6</v>
      </c>
      <c r="E94" t="s">
        <v>13</v>
      </c>
      <c r="F94" t="s">
        <v>10</v>
      </c>
      <c r="G94" t="s">
        <v>1047</v>
      </c>
    </row>
    <row r="95" spans="1:7" x14ac:dyDescent="0.45">
      <c r="A95" s="26" t="s">
        <v>1002</v>
      </c>
    </row>
    <row r="96" spans="1:7" x14ac:dyDescent="0.45">
      <c r="A96" s="30" t="s">
        <v>20</v>
      </c>
      <c r="B96">
        <v>891</v>
      </c>
      <c r="C96">
        <v>1332</v>
      </c>
      <c r="D96">
        <v>1282</v>
      </c>
      <c r="E96">
        <v>739</v>
      </c>
      <c r="F96">
        <v>560</v>
      </c>
      <c r="G96">
        <v>4804</v>
      </c>
    </row>
    <row r="97" spans="1:7" x14ac:dyDescent="0.45">
      <c r="A97" s="30" t="s">
        <v>12</v>
      </c>
      <c r="B97">
        <v>1991</v>
      </c>
      <c r="C97">
        <v>1886</v>
      </c>
      <c r="D97">
        <v>1206</v>
      </c>
      <c r="E97">
        <v>884</v>
      </c>
      <c r="F97">
        <v>1722</v>
      </c>
      <c r="G97">
        <v>7689</v>
      </c>
    </row>
    <row r="98" spans="1:7" x14ac:dyDescent="0.45">
      <c r="A98" s="30" t="s">
        <v>8</v>
      </c>
      <c r="B98">
        <v>1163</v>
      </c>
      <c r="C98">
        <v>1180</v>
      </c>
      <c r="D98">
        <v>1616</v>
      </c>
      <c r="E98">
        <v>1043</v>
      </c>
      <c r="F98">
        <v>1747</v>
      </c>
      <c r="G98">
        <v>6749</v>
      </c>
    </row>
    <row r="99" spans="1:7" x14ac:dyDescent="0.45">
      <c r="A99" s="30" t="s">
        <v>16</v>
      </c>
      <c r="B99">
        <v>1438</v>
      </c>
      <c r="C99">
        <v>1616</v>
      </c>
      <c r="D99">
        <v>866</v>
      </c>
      <c r="E99">
        <v>829</v>
      </c>
      <c r="F99">
        <v>2070</v>
      </c>
      <c r="G99">
        <v>6819</v>
      </c>
    </row>
    <row r="100" spans="1:7" x14ac:dyDescent="0.45">
      <c r="A100" s="26" t="s">
        <v>1001</v>
      </c>
    </row>
    <row r="101" spans="1:7" x14ac:dyDescent="0.45">
      <c r="A101" s="30" t="s">
        <v>24</v>
      </c>
      <c r="B101">
        <v>1233</v>
      </c>
      <c r="C101">
        <v>223</v>
      </c>
      <c r="D101">
        <v>1680</v>
      </c>
      <c r="E101">
        <v>990</v>
      </c>
      <c r="F101">
        <v>1508</v>
      </c>
      <c r="G101">
        <v>5634</v>
      </c>
    </row>
    <row r="102" spans="1:7" x14ac:dyDescent="0.45">
      <c r="A102" s="30" t="s">
        <v>15</v>
      </c>
      <c r="B102">
        <v>1598</v>
      </c>
      <c r="C102">
        <v>1907</v>
      </c>
      <c r="D102">
        <v>869</v>
      </c>
      <c r="E102">
        <v>1426</v>
      </c>
      <c r="F102">
        <v>1416</v>
      </c>
      <c r="G102">
        <v>7216</v>
      </c>
    </row>
    <row r="103" spans="1:7" x14ac:dyDescent="0.45">
      <c r="A103" s="30" t="s">
        <v>5</v>
      </c>
      <c r="B103">
        <v>900</v>
      </c>
      <c r="C103">
        <v>1016</v>
      </c>
      <c r="D103">
        <v>960</v>
      </c>
      <c r="E103">
        <v>940</v>
      </c>
      <c r="F103">
        <v>1193</v>
      </c>
      <c r="G103">
        <v>5009</v>
      </c>
    </row>
    <row r="104" spans="1:7" x14ac:dyDescent="0.45">
      <c r="A104" s="30" t="s">
        <v>18</v>
      </c>
      <c r="B104">
        <v>900</v>
      </c>
      <c r="C104">
        <v>1470</v>
      </c>
      <c r="D104">
        <v>1617</v>
      </c>
      <c r="E104">
        <v>1314</v>
      </c>
      <c r="F104">
        <v>941</v>
      </c>
      <c r="G104">
        <v>6242</v>
      </c>
    </row>
    <row r="105" spans="1:7" x14ac:dyDescent="0.45">
      <c r="A105" s="30" t="s">
        <v>14</v>
      </c>
      <c r="B105">
        <v>1255</v>
      </c>
      <c r="C105">
        <v>516</v>
      </c>
      <c r="D105">
        <v>1874</v>
      </c>
      <c r="E105">
        <v>1863</v>
      </c>
      <c r="F105">
        <v>1722</v>
      </c>
      <c r="G105">
        <v>7230</v>
      </c>
    </row>
    <row r="106" spans="1:7" x14ac:dyDescent="0.45">
      <c r="A106" s="30" t="s">
        <v>19</v>
      </c>
      <c r="B106">
        <v>1138</v>
      </c>
      <c r="C106">
        <v>1898</v>
      </c>
      <c r="D106">
        <v>1482</v>
      </c>
      <c r="E106">
        <v>846</v>
      </c>
      <c r="F106">
        <v>1154</v>
      </c>
      <c r="G106">
        <v>6518</v>
      </c>
    </row>
    <row r="107" spans="1:7" x14ac:dyDescent="0.45">
      <c r="A107" s="26" t="s">
        <v>1000</v>
      </c>
    </row>
    <row r="108" spans="1:7" x14ac:dyDescent="0.45">
      <c r="A108" s="30" t="s">
        <v>17</v>
      </c>
      <c r="B108">
        <v>1655</v>
      </c>
      <c r="C108">
        <v>805</v>
      </c>
      <c r="D108">
        <v>2263</v>
      </c>
      <c r="E108">
        <v>987</v>
      </c>
      <c r="F108">
        <v>1075</v>
      </c>
      <c r="G108">
        <v>6785</v>
      </c>
    </row>
    <row r="109" spans="1:7" x14ac:dyDescent="0.45">
      <c r="A109" s="30" t="s">
        <v>23</v>
      </c>
      <c r="B109">
        <v>1104</v>
      </c>
      <c r="C109">
        <v>2280</v>
      </c>
      <c r="D109">
        <v>1445</v>
      </c>
      <c r="E109">
        <v>1722</v>
      </c>
      <c r="F109">
        <v>1196</v>
      </c>
      <c r="G109">
        <v>7747</v>
      </c>
    </row>
    <row r="110" spans="1:7" x14ac:dyDescent="0.45">
      <c r="A110" s="30" t="s">
        <v>7</v>
      </c>
      <c r="B110">
        <v>372</v>
      </c>
      <c r="C110">
        <v>1818</v>
      </c>
      <c r="D110">
        <v>1346</v>
      </c>
      <c r="E110">
        <v>1156</v>
      </c>
      <c r="F110">
        <v>1484</v>
      </c>
      <c r="G110">
        <v>6176</v>
      </c>
    </row>
    <row r="111" spans="1:7" x14ac:dyDescent="0.45">
      <c r="A111" s="30" t="s">
        <v>22</v>
      </c>
      <c r="B111">
        <v>1415</v>
      </c>
      <c r="C111">
        <v>1271</v>
      </c>
      <c r="D111">
        <v>1214</v>
      </c>
      <c r="E111">
        <v>1135</v>
      </c>
      <c r="F111">
        <v>1566</v>
      </c>
      <c r="G111">
        <v>6601</v>
      </c>
    </row>
    <row r="112" spans="1:7" x14ac:dyDescent="0.45">
      <c r="A112" s="30" t="s">
        <v>21</v>
      </c>
      <c r="B112">
        <v>1362</v>
      </c>
      <c r="C112">
        <v>1363</v>
      </c>
      <c r="D112">
        <v>1152</v>
      </c>
      <c r="E112">
        <v>777</v>
      </c>
      <c r="F112">
        <v>750</v>
      </c>
      <c r="G112">
        <v>5404</v>
      </c>
    </row>
    <row r="119" spans="1:1" x14ac:dyDescent="0.45">
      <c r="A119" s="48" t="s">
        <v>1084</v>
      </c>
    </row>
    <row r="120" spans="1:1" x14ac:dyDescent="0.45">
      <c r="A120">
        <v>0</v>
      </c>
    </row>
    <row r="121" spans="1:1" x14ac:dyDescent="0.45">
      <c r="A121">
        <v>1</v>
      </c>
    </row>
    <row r="122" spans="1:1" x14ac:dyDescent="0.45">
      <c r="A122">
        <v>2</v>
      </c>
    </row>
    <row r="123" spans="1:1" x14ac:dyDescent="0.45">
      <c r="A123">
        <v>3</v>
      </c>
    </row>
    <row r="124" spans="1:1" x14ac:dyDescent="0.45">
      <c r="A124">
        <v>4</v>
      </c>
    </row>
    <row r="125" spans="1:1" x14ac:dyDescent="0.45">
      <c r="A125">
        <v>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BB804-0AFA-4340-85C9-6CC964E3AD15}">
  <dimension ref="A1:BW144"/>
  <sheetViews>
    <sheetView tabSelected="1" zoomScale="70" zoomScaleNormal="70" workbookViewId="0">
      <selection sqref="A1:W1"/>
    </sheetView>
  </sheetViews>
  <sheetFormatPr defaultRowHeight="14.25" x14ac:dyDescent="0.45"/>
  <cols>
    <col min="1" max="1" width="1.265625" customWidth="1"/>
    <col min="2" max="2" width="1.86328125" customWidth="1"/>
    <col min="5" max="5" width="9.06640625" customWidth="1"/>
    <col min="16" max="16" width="12.265625" customWidth="1"/>
    <col min="17" max="19" width="10.06640625" bestFit="1" customWidth="1"/>
    <col min="20" max="21" width="9.3984375" bestFit="1" customWidth="1"/>
    <col min="22" max="22" width="10.06640625" bestFit="1" customWidth="1"/>
    <col min="28" max="75" width="9.06640625" style="32"/>
  </cols>
  <sheetData>
    <row r="1" spans="1:27" ht="37.5" thickBot="1" x14ac:dyDescent="1.2">
      <c r="A1" s="49" t="s">
        <v>1085</v>
      </c>
      <c r="B1" s="49"/>
      <c r="C1" s="49"/>
      <c r="D1" s="49"/>
      <c r="E1" s="49"/>
      <c r="F1" s="49"/>
      <c r="G1" s="49"/>
      <c r="H1" s="49"/>
      <c r="I1" s="49"/>
      <c r="J1" s="49"/>
      <c r="K1" s="49"/>
      <c r="L1" s="49"/>
      <c r="M1" s="49"/>
      <c r="N1" s="49"/>
      <c r="O1" s="49"/>
      <c r="P1" s="49"/>
      <c r="Q1" s="49"/>
      <c r="R1" s="49"/>
      <c r="S1" s="49"/>
      <c r="T1" s="49"/>
      <c r="U1" s="49"/>
      <c r="V1" s="49"/>
      <c r="W1" s="49"/>
      <c r="X1" s="32"/>
      <c r="Y1" s="32"/>
      <c r="Z1" s="32"/>
      <c r="AA1" s="32"/>
    </row>
    <row r="2" spans="1:27" s="47" customFormat="1" ht="14.25" hidden="1" customHeight="1" x14ac:dyDescent="0.45"/>
    <row r="3" spans="1:27" s="47" customFormat="1" ht="14.25" hidden="1" customHeight="1" x14ac:dyDescent="0.45"/>
    <row r="4" spans="1:27" s="47" customFormat="1" ht="14.25" hidden="1" customHeight="1" x14ac:dyDescent="0.45"/>
    <row r="5" spans="1:27" s="47" customFormat="1" ht="14.65" thickTop="1" x14ac:dyDescent="0.45"/>
    <row r="6" spans="1:27" x14ac:dyDescent="0.45">
      <c r="A6" s="32"/>
      <c r="B6" s="32"/>
      <c r="C6" s="32"/>
      <c r="D6" s="32"/>
      <c r="E6" s="32"/>
      <c r="F6" s="32"/>
      <c r="G6" s="32"/>
      <c r="H6" s="32"/>
      <c r="I6" s="32"/>
      <c r="J6" s="32"/>
      <c r="K6" s="32"/>
      <c r="L6" s="32"/>
      <c r="M6" s="32"/>
      <c r="N6" s="32"/>
      <c r="O6" s="32"/>
      <c r="P6" s="32"/>
      <c r="Q6" s="32"/>
      <c r="R6" s="32"/>
      <c r="S6" s="32"/>
      <c r="T6" s="32"/>
      <c r="U6" s="32"/>
      <c r="V6" s="32"/>
      <c r="W6" s="32"/>
      <c r="X6" s="32"/>
      <c r="Y6" s="32"/>
      <c r="Z6" s="32"/>
      <c r="AA6" s="32"/>
    </row>
    <row r="7" spans="1:27" x14ac:dyDescent="0.45">
      <c r="A7" s="32"/>
      <c r="B7" s="32"/>
      <c r="C7" s="32"/>
      <c r="D7" s="32"/>
      <c r="E7" s="32"/>
      <c r="F7" s="32"/>
      <c r="G7" s="32"/>
      <c r="H7" s="32"/>
      <c r="I7" s="32"/>
      <c r="J7" s="32"/>
      <c r="K7" s="32"/>
      <c r="L7" s="32"/>
      <c r="M7" s="32"/>
      <c r="N7" s="32"/>
      <c r="O7" s="32"/>
      <c r="P7" s="32"/>
      <c r="Q7" s="32"/>
      <c r="R7" s="32"/>
      <c r="S7" s="32"/>
      <c r="T7" s="32"/>
      <c r="U7" s="32"/>
      <c r="V7" s="32"/>
      <c r="W7" s="32"/>
      <c r="X7" s="32"/>
      <c r="Y7" s="32"/>
      <c r="Z7" s="32"/>
      <c r="AA7" s="32"/>
    </row>
    <row r="8" spans="1:27" x14ac:dyDescent="0.45">
      <c r="A8" s="32"/>
      <c r="B8" s="32"/>
      <c r="C8" s="32"/>
      <c r="D8" s="32"/>
      <c r="E8" s="32"/>
      <c r="F8" s="32"/>
      <c r="G8" s="32"/>
      <c r="H8" s="32"/>
      <c r="I8" s="32"/>
      <c r="J8" s="32"/>
      <c r="K8" s="32"/>
      <c r="L8" s="32"/>
      <c r="M8" s="32"/>
      <c r="N8" s="32"/>
      <c r="O8" s="32"/>
      <c r="P8" s="32"/>
      <c r="Q8" s="32"/>
      <c r="R8" s="32"/>
      <c r="S8" s="32"/>
      <c r="T8" s="32"/>
      <c r="U8" s="32"/>
      <c r="V8" s="32"/>
      <c r="W8" s="32"/>
      <c r="X8" s="32"/>
      <c r="Y8" s="32"/>
      <c r="Z8" s="32"/>
      <c r="AA8" s="32"/>
    </row>
    <row r="9" spans="1:27" x14ac:dyDescent="0.45">
      <c r="A9" s="32"/>
      <c r="B9" s="32"/>
      <c r="C9" s="32"/>
      <c r="D9" s="32"/>
      <c r="E9" s="32"/>
      <c r="F9" s="32"/>
      <c r="G9" s="32"/>
      <c r="H9" s="32"/>
      <c r="I9" s="32"/>
      <c r="J9" s="32"/>
      <c r="K9" s="32"/>
      <c r="L9" s="32"/>
      <c r="M9" s="32"/>
      <c r="N9" s="32"/>
      <c r="O9" s="32"/>
      <c r="P9" s="32"/>
      <c r="Q9" s="32"/>
      <c r="R9" s="32"/>
      <c r="S9" s="32"/>
      <c r="T9" s="32"/>
      <c r="U9" s="32"/>
      <c r="V9" s="32"/>
      <c r="W9" s="32"/>
      <c r="X9" s="32"/>
      <c r="Y9" s="32"/>
      <c r="Z9" s="32"/>
      <c r="AA9" s="32"/>
    </row>
    <row r="10" spans="1:27" x14ac:dyDescent="0.45">
      <c r="A10" s="32"/>
      <c r="B10" s="32"/>
      <c r="C10" s="32"/>
      <c r="D10" s="32"/>
      <c r="E10" s="32"/>
      <c r="F10" s="32"/>
      <c r="G10" s="32"/>
      <c r="H10" s="32"/>
      <c r="I10" s="32"/>
      <c r="J10" s="32"/>
      <c r="K10" s="32"/>
      <c r="L10" s="32"/>
      <c r="M10" s="32"/>
      <c r="N10" s="32"/>
      <c r="O10" s="32"/>
      <c r="P10" s="32"/>
      <c r="Q10" s="32"/>
      <c r="R10" s="32"/>
      <c r="S10" s="32"/>
      <c r="T10" s="32"/>
      <c r="U10" s="32"/>
      <c r="V10" s="32"/>
      <c r="W10" s="32"/>
      <c r="X10" s="32"/>
      <c r="Y10" s="32"/>
      <c r="Z10" s="32"/>
      <c r="AA10" s="32"/>
    </row>
    <row r="11" spans="1:27" x14ac:dyDescent="0.45">
      <c r="A11" s="32"/>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row>
    <row r="12" spans="1:27" x14ac:dyDescent="0.45">
      <c r="A12" s="32"/>
      <c r="B12" s="32"/>
      <c r="C12" s="32"/>
      <c r="D12" s="32"/>
      <c r="E12" s="32"/>
      <c r="F12" s="32"/>
      <c r="G12" s="32"/>
      <c r="H12" s="32"/>
      <c r="I12" s="32"/>
      <c r="J12" s="32"/>
      <c r="K12" s="32"/>
      <c r="L12" s="32"/>
      <c r="M12" s="32"/>
      <c r="N12" s="32"/>
      <c r="O12" s="32"/>
      <c r="P12" s="32"/>
      <c r="Q12" s="32"/>
      <c r="R12" s="32"/>
      <c r="S12" s="32"/>
      <c r="T12" s="32"/>
      <c r="U12" s="32"/>
      <c r="V12" s="32"/>
      <c r="W12" s="32"/>
      <c r="X12" s="32"/>
      <c r="Y12" s="32"/>
      <c r="Z12" s="50"/>
      <c r="AA12" s="32"/>
    </row>
    <row r="13" spans="1:27" x14ac:dyDescent="0.45">
      <c r="A13" s="32"/>
      <c r="B13" s="32"/>
      <c r="C13" s="32"/>
      <c r="D13" s="32"/>
      <c r="E13" s="32"/>
      <c r="F13" s="32"/>
      <c r="G13" s="32"/>
      <c r="H13" s="32"/>
      <c r="I13" s="32"/>
      <c r="J13" s="32"/>
      <c r="K13" s="32"/>
      <c r="L13" s="32"/>
      <c r="M13" s="32"/>
      <c r="N13" s="32"/>
      <c r="O13" s="32"/>
      <c r="P13" s="32"/>
      <c r="Q13" s="32"/>
      <c r="R13" s="32"/>
      <c r="S13" s="32"/>
      <c r="T13" s="32"/>
      <c r="U13" s="32"/>
      <c r="V13" s="32"/>
      <c r="W13" s="32"/>
      <c r="X13" s="32"/>
      <c r="Y13" s="32"/>
      <c r="Z13" s="32"/>
      <c r="AA13" s="32"/>
    </row>
    <row r="14" spans="1:27" x14ac:dyDescent="0.45">
      <c r="A14" s="32"/>
      <c r="B14" s="32"/>
      <c r="C14" s="32"/>
      <c r="D14" s="32"/>
      <c r="E14" s="32"/>
      <c r="F14" s="32"/>
      <c r="G14" s="32"/>
      <c r="H14" s="32"/>
      <c r="I14" s="32"/>
      <c r="J14" s="32"/>
      <c r="K14" s="32"/>
      <c r="L14" s="32"/>
      <c r="M14" s="32"/>
      <c r="N14" s="32"/>
      <c r="O14" s="32"/>
      <c r="P14" s="32"/>
      <c r="Q14" s="32"/>
      <c r="R14" s="32"/>
      <c r="S14" s="32"/>
      <c r="T14" s="32"/>
      <c r="U14" s="32"/>
      <c r="V14" s="32"/>
      <c r="W14" s="32"/>
      <c r="X14" s="32"/>
      <c r="Y14" s="32"/>
      <c r="Z14" s="32"/>
      <c r="AA14" s="32"/>
    </row>
    <row r="15" spans="1:27" x14ac:dyDescent="0.45">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row>
    <row r="16" spans="1:27" x14ac:dyDescent="0.45">
      <c r="A16" s="32"/>
      <c r="B16" s="32"/>
      <c r="C16" s="32"/>
      <c r="D16" s="32"/>
      <c r="E16" s="32"/>
      <c r="F16" s="32"/>
      <c r="G16" s="32"/>
      <c r="H16" s="32"/>
      <c r="I16" s="32"/>
      <c r="J16" s="32"/>
      <c r="K16" s="32"/>
      <c r="L16" s="32"/>
      <c r="M16" s="32"/>
      <c r="N16" s="32"/>
      <c r="O16" s="32"/>
      <c r="P16" s="32"/>
      <c r="Q16" s="32"/>
      <c r="R16" s="32"/>
      <c r="S16" s="32"/>
      <c r="T16" s="32"/>
      <c r="U16" s="32"/>
      <c r="V16" s="32"/>
      <c r="W16" s="32"/>
      <c r="X16" s="50"/>
      <c r="Y16" s="50"/>
      <c r="Z16" s="50"/>
      <c r="AA16" s="32"/>
    </row>
    <row r="17" spans="1:27" x14ac:dyDescent="0.45">
      <c r="A17" s="32"/>
      <c r="B17" s="32"/>
      <c r="C17" s="32"/>
      <c r="D17" s="32"/>
      <c r="E17" s="32"/>
      <c r="F17" s="32"/>
      <c r="G17" s="32"/>
      <c r="H17" s="32"/>
      <c r="I17" s="32"/>
      <c r="J17" s="32"/>
      <c r="K17" s="32"/>
      <c r="L17" s="32"/>
      <c r="M17" s="32"/>
      <c r="N17" s="32"/>
      <c r="O17" s="32"/>
      <c r="P17" s="32"/>
      <c r="Q17" s="32"/>
      <c r="R17" s="32"/>
      <c r="S17" s="32"/>
      <c r="T17" s="32"/>
      <c r="U17" s="32"/>
      <c r="V17" s="32"/>
      <c r="W17" s="32"/>
      <c r="X17" s="50"/>
      <c r="Y17" s="50"/>
      <c r="Z17" s="50"/>
      <c r="AA17" s="32"/>
    </row>
    <row r="18" spans="1:27" x14ac:dyDescent="0.45">
      <c r="A18" s="32"/>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row>
    <row r="19" spans="1:27" x14ac:dyDescent="0.45">
      <c r="A19" s="32"/>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row>
    <row r="20" spans="1:27" x14ac:dyDescent="0.45">
      <c r="A20" s="32"/>
      <c r="B20" s="32"/>
      <c r="C20" s="32"/>
      <c r="D20" s="32"/>
      <c r="E20" s="32"/>
      <c r="F20" s="32"/>
      <c r="G20" s="32"/>
      <c r="H20" s="32"/>
      <c r="I20" s="32"/>
      <c r="J20" s="32"/>
      <c r="K20" s="32"/>
      <c r="L20" s="32"/>
      <c r="M20" s="32"/>
      <c r="N20" s="32"/>
      <c r="O20" s="32"/>
      <c r="P20" s="33"/>
      <c r="Q20" s="34" t="str" cm="1">
        <f t="array" ref="Q20:U20">Pivot!B94:F94</f>
        <v>R01</v>
      </c>
      <c r="R20" s="34" t="str">
        <v>R02</v>
      </c>
      <c r="S20" s="34" t="str">
        <v>R03</v>
      </c>
      <c r="T20" s="34" t="str">
        <v>R04</v>
      </c>
      <c r="U20" s="34" t="str">
        <v>R05</v>
      </c>
      <c r="V20" s="35" t="s">
        <v>1077</v>
      </c>
      <c r="W20" s="32"/>
      <c r="X20" s="32"/>
      <c r="Y20" s="32"/>
      <c r="Z20" s="32"/>
      <c r="AA20" s="32"/>
    </row>
    <row r="21" spans="1:27" x14ac:dyDescent="0.45">
      <c r="A21" s="32"/>
      <c r="B21" s="32"/>
      <c r="C21" s="32"/>
      <c r="D21" s="32"/>
      <c r="E21" s="32"/>
      <c r="F21" s="32"/>
      <c r="G21" s="32"/>
      <c r="H21" s="32"/>
      <c r="I21" s="32"/>
      <c r="J21" s="32"/>
      <c r="K21" s="32"/>
      <c r="L21" s="32"/>
      <c r="M21" s="32"/>
      <c r="N21" s="32"/>
      <c r="O21" s="32"/>
      <c r="P21" s="36" t="str" cm="1">
        <f t="array" ref="P21:V38">IF(Pivot!A95:G112 = "","",Pivot!A95:G112)</f>
        <v>Cincinnati</v>
      </c>
      <c r="Q21" s="37" t="str">
        <v/>
      </c>
      <c r="R21" s="37" t="str">
        <v/>
      </c>
      <c r="S21" s="37" t="str">
        <v/>
      </c>
      <c r="T21" s="37" t="str">
        <v/>
      </c>
      <c r="U21" s="37" t="str">
        <v/>
      </c>
      <c r="V21" s="38" t="str">
        <v/>
      </c>
      <c r="W21" s="32"/>
      <c r="X21" s="32"/>
      <c r="Y21" s="32"/>
      <c r="Z21" s="32"/>
      <c r="AA21" s="32"/>
    </row>
    <row r="22" spans="1:27" x14ac:dyDescent="0.45">
      <c r="A22" s="32"/>
      <c r="B22" s="32"/>
      <c r="C22" s="32"/>
      <c r="D22" s="32"/>
      <c r="E22" s="32"/>
      <c r="F22" s="32"/>
      <c r="G22" s="32"/>
      <c r="H22" s="32"/>
      <c r="I22" s="32"/>
      <c r="J22" s="32"/>
      <c r="K22" s="32"/>
      <c r="L22" s="32"/>
      <c r="M22" s="32"/>
      <c r="N22" s="32"/>
      <c r="O22" s="32"/>
      <c r="P22" s="39" t="str">
        <v>C0003</v>
      </c>
      <c r="Q22" s="40">
        <v>891</v>
      </c>
      <c r="R22" s="40">
        <v>1332</v>
      </c>
      <c r="S22" s="40">
        <v>1282</v>
      </c>
      <c r="T22" s="40">
        <v>739</v>
      </c>
      <c r="U22" s="40">
        <v>560</v>
      </c>
      <c r="V22" s="41">
        <v>4804</v>
      </c>
      <c r="W22" s="32"/>
      <c r="X22" s="32"/>
      <c r="Y22" s="32"/>
      <c r="Z22" s="32"/>
      <c r="AA22" s="32"/>
    </row>
    <row r="23" spans="1:27" x14ac:dyDescent="0.45">
      <c r="A23" s="32"/>
      <c r="B23" s="32"/>
      <c r="C23" s="32"/>
      <c r="D23" s="32"/>
      <c r="E23" s="32"/>
      <c r="F23" s="32"/>
      <c r="G23" s="32"/>
      <c r="H23" s="32"/>
      <c r="I23" s="32"/>
      <c r="J23" s="32"/>
      <c r="K23" s="32"/>
      <c r="L23" s="32"/>
      <c r="M23" s="32"/>
      <c r="N23" s="32"/>
      <c r="O23" s="32"/>
      <c r="P23" s="39" t="str">
        <v>C0004</v>
      </c>
      <c r="Q23" s="40">
        <v>1991</v>
      </c>
      <c r="R23" s="40">
        <v>1886</v>
      </c>
      <c r="S23" s="40">
        <v>1206</v>
      </c>
      <c r="T23" s="40">
        <v>884</v>
      </c>
      <c r="U23" s="40">
        <v>1722</v>
      </c>
      <c r="V23" s="41">
        <v>7689</v>
      </c>
      <c r="W23" s="32"/>
      <c r="X23" s="32"/>
      <c r="Y23" s="32"/>
      <c r="Z23" s="32"/>
      <c r="AA23" s="32"/>
    </row>
    <row r="24" spans="1:27" x14ac:dyDescent="0.45">
      <c r="A24" s="32"/>
      <c r="B24" s="32"/>
      <c r="C24" s="32"/>
      <c r="D24" s="32"/>
      <c r="E24" s="32"/>
      <c r="F24" s="32"/>
      <c r="G24" s="32"/>
      <c r="H24" s="32"/>
      <c r="I24" s="32"/>
      <c r="J24" s="32"/>
      <c r="K24" s="32"/>
      <c r="L24" s="32"/>
      <c r="M24" s="32"/>
      <c r="N24" s="32"/>
      <c r="O24" s="32"/>
      <c r="P24" s="39" t="str">
        <v>C0011</v>
      </c>
      <c r="Q24" s="40">
        <v>1163</v>
      </c>
      <c r="R24" s="40">
        <v>1180</v>
      </c>
      <c r="S24" s="40">
        <v>1616</v>
      </c>
      <c r="T24" s="40">
        <v>1043</v>
      </c>
      <c r="U24" s="40">
        <v>1747</v>
      </c>
      <c r="V24" s="41">
        <v>6749</v>
      </c>
      <c r="W24" s="32"/>
      <c r="X24" s="32"/>
      <c r="Y24" s="32"/>
      <c r="Z24" s="32"/>
      <c r="AA24" s="32"/>
    </row>
    <row r="25" spans="1:27" x14ac:dyDescent="0.45">
      <c r="A25" s="32"/>
      <c r="B25" s="32"/>
      <c r="C25" s="32"/>
      <c r="D25" s="32"/>
      <c r="E25" s="32"/>
      <c r="F25" s="32"/>
      <c r="G25" s="32"/>
      <c r="H25" s="32"/>
      <c r="I25" s="32"/>
      <c r="J25" s="32"/>
      <c r="K25" s="32"/>
      <c r="L25" s="32"/>
      <c r="M25" s="32"/>
      <c r="N25" s="32"/>
      <c r="O25" s="32"/>
      <c r="P25" s="39" t="str">
        <v>C0012</v>
      </c>
      <c r="Q25" s="40">
        <v>1438</v>
      </c>
      <c r="R25" s="40">
        <v>1616</v>
      </c>
      <c r="S25" s="40">
        <v>866</v>
      </c>
      <c r="T25" s="40">
        <v>829</v>
      </c>
      <c r="U25" s="40">
        <v>2070</v>
      </c>
      <c r="V25" s="41">
        <v>6819</v>
      </c>
      <c r="W25" s="32"/>
      <c r="X25" s="32"/>
      <c r="Y25" s="32"/>
      <c r="Z25" s="32"/>
      <c r="AA25" s="32"/>
    </row>
    <row r="26" spans="1:27" x14ac:dyDescent="0.45">
      <c r="A26" s="32"/>
      <c r="B26" s="32"/>
      <c r="C26" s="32"/>
      <c r="D26" s="32"/>
      <c r="E26" s="32"/>
      <c r="F26" s="32"/>
      <c r="G26" s="32"/>
      <c r="H26" s="32"/>
      <c r="I26" s="32"/>
      <c r="J26" s="32"/>
      <c r="K26" s="32"/>
      <c r="L26" s="32"/>
      <c r="M26" s="32"/>
      <c r="N26" s="32"/>
      <c r="O26" s="32"/>
      <c r="P26" s="36" t="str">
        <v>Cleveland</v>
      </c>
      <c r="Q26" s="40" t="str">
        <v/>
      </c>
      <c r="R26" s="40" t="str">
        <v/>
      </c>
      <c r="S26" s="40" t="str">
        <v/>
      </c>
      <c r="T26" s="40" t="str">
        <v/>
      </c>
      <c r="U26" s="40" t="str">
        <v/>
      </c>
      <c r="V26" s="41" t="str">
        <v/>
      </c>
      <c r="W26" s="32"/>
      <c r="X26" s="32"/>
      <c r="Y26" s="32"/>
      <c r="Z26" s="32"/>
      <c r="AA26" s="32"/>
    </row>
    <row r="27" spans="1:27" x14ac:dyDescent="0.45">
      <c r="A27" s="32"/>
      <c r="B27" s="32"/>
      <c r="C27" s="32"/>
      <c r="D27" s="32"/>
      <c r="E27" s="32"/>
      <c r="F27" s="32"/>
      <c r="G27" s="32"/>
      <c r="H27" s="32"/>
      <c r="I27" s="32"/>
      <c r="J27" s="32"/>
      <c r="K27" s="32"/>
      <c r="L27" s="32"/>
      <c r="M27" s="32"/>
      <c r="N27" s="32"/>
      <c r="O27" s="32"/>
      <c r="P27" s="39" t="str">
        <v>C0002</v>
      </c>
      <c r="Q27" s="40">
        <v>1233</v>
      </c>
      <c r="R27" s="40">
        <v>223</v>
      </c>
      <c r="S27" s="40">
        <v>1680</v>
      </c>
      <c r="T27" s="40">
        <v>990</v>
      </c>
      <c r="U27" s="40">
        <v>1508</v>
      </c>
      <c r="V27" s="41">
        <v>5634</v>
      </c>
      <c r="W27" s="32"/>
      <c r="X27" s="32"/>
      <c r="Y27" s="32"/>
      <c r="Z27" s="32"/>
      <c r="AA27" s="32"/>
    </row>
    <row r="28" spans="1:27" x14ac:dyDescent="0.45">
      <c r="A28" s="32"/>
      <c r="B28" s="32"/>
      <c r="C28" s="32"/>
      <c r="D28" s="32"/>
      <c r="E28" s="32"/>
      <c r="F28" s="32"/>
      <c r="G28" s="32"/>
      <c r="H28" s="32"/>
      <c r="I28" s="32"/>
      <c r="J28" s="32"/>
      <c r="K28" s="32"/>
      <c r="L28" s="32"/>
      <c r="M28" s="32"/>
      <c r="N28" s="32"/>
      <c r="O28" s="32"/>
      <c r="P28" s="39" t="str">
        <v>C0007</v>
      </c>
      <c r="Q28" s="40">
        <v>1598</v>
      </c>
      <c r="R28" s="40">
        <v>1907</v>
      </c>
      <c r="S28" s="40">
        <v>869</v>
      </c>
      <c r="T28" s="40">
        <v>1426</v>
      </c>
      <c r="U28" s="40">
        <v>1416</v>
      </c>
      <c r="V28" s="41">
        <v>7216</v>
      </c>
      <c r="W28" s="32"/>
      <c r="X28" s="32"/>
      <c r="Y28" s="32"/>
      <c r="Z28" s="32"/>
      <c r="AA28" s="32"/>
    </row>
    <row r="29" spans="1:27" x14ac:dyDescent="0.45">
      <c r="A29" s="32"/>
      <c r="B29" s="32"/>
      <c r="C29" s="32"/>
      <c r="D29" s="32"/>
      <c r="E29" s="32"/>
      <c r="F29" s="32"/>
      <c r="G29" s="32"/>
      <c r="H29" s="32"/>
      <c r="I29" s="32"/>
      <c r="J29" s="32"/>
      <c r="K29" s="32"/>
      <c r="L29" s="32"/>
      <c r="M29" s="32"/>
      <c r="N29" s="32"/>
      <c r="O29" s="32"/>
      <c r="P29" s="39" t="str">
        <v>C0008</v>
      </c>
      <c r="Q29" s="40">
        <v>900</v>
      </c>
      <c r="R29" s="40">
        <v>1016</v>
      </c>
      <c r="S29" s="40">
        <v>960</v>
      </c>
      <c r="T29" s="40">
        <v>940</v>
      </c>
      <c r="U29" s="40">
        <v>1193</v>
      </c>
      <c r="V29" s="41">
        <v>5009</v>
      </c>
      <c r="W29" s="32"/>
      <c r="X29" s="32"/>
      <c r="Y29" s="32"/>
      <c r="Z29" s="32"/>
      <c r="AA29" s="32"/>
    </row>
    <row r="30" spans="1:27" x14ac:dyDescent="0.45">
      <c r="A30" s="32"/>
      <c r="B30" s="32"/>
      <c r="C30" s="32"/>
      <c r="D30" s="32"/>
      <c r="E30" s="32"/>
      <c r="F30" s="32"/>
      <c r="G30" s="32"/>
      <c r="H30" s="32"/>
      <c r="I30" s="32"/>
      <c r="J30" s="32"/>
      <c r="K30" s="32"/>
      <c r="L30" s="32"/>
      <c r="M30" s="45" t="e" vm="1">
        <f>Pivot!H69</f>
        <v>#VALUE!</v>
      </c>
      <c r="N30" s="45"/>
      <c r="O30" s="46"/>
      <c r="P30" s="39" t="str">
        <v>C0010</v>
      </c>
      <c r="Q30" s="40">
        <v>900</v>
      </c>
      <c r="R30" s="40">
        <v>1470</v>
      </c>
      <c r="S30" s="40">
        <v>1617</v>
      </c>
      <c r="T30" s="40">
        <v>1314</v>
      </c>
      <c r="U30" s="40">
        <v>941</v>
      </c>
      <c r="V30" s="41">
        <v>6242</v>
      </c>
      <c r="W30" s="32"/>
      <c r="X30" s="32"/>
      <c r="Y30" s="32"/>
      <c r="Z30" s="32"/>
      <c r="AA30" s="32"/>
    </row>
    <row r="31" spans="1:27" x14ac:dyDescent="0.45">
      <c r="A31" s="32"/>
      <c r="B31" s="32"/>
      <c r="C31" s="32"/>
      <c r="D31" s="32"/>
      <c r="E31" s="32"/>
      <c r="F31" s="32"/>
      <c r="G31" s="32"/>
      <c r="H31" s="32"/>
      <c r="I31" s="32"/>
      <c r="J31" s="32"/>
      <c r="K31" s="32"/>
      <c r="L31" s="32"/>
      <c r="M31" s="45"/>
      <c r="N31" s="45"/>
      <c r="O31" s="46"/>
      <c r="P31" s="39" t="str">
        <v>C0013</v>
      </c>
      <c r="Q31" s="40">
        <v>1255</v>
      </c>
      <c r="R31" s="40">
        <v>516</v>
      </c>
      <c r="S31" s="40">
        <v>1874</v>
      </c>
      <c r="T31" s="40">
        <v>1863</v>
      </c>
      <c r="U31" s="40">
        <v>1722</v>
      </c>
      <c r="V31" s="41">
        <v>7230</v>
      </c>
      <c r="W31" s="32"/>
      <c r="X31" s="32"/>
      <c r="Y31" s="32"/>
      <c r="Z31" s="32"/>
      <c r="AA31" s="32"/>
    </row>
    <row r="32" spans="1:27" x14ac:dyDescent="0.45">
      <c r="A32" s="32"/>
      <c r="B32" s="32"/>
      <c r="C32" s="32"/>
      <c r="D32" s="32"/>
      <c r="E32" s="32"/>
      <c r="F32" s="32"/>
      <c r="G32" s="32"/>
      <c r="H32" s="32"/>
      <c r="I32" s="32"/>
      <c r="J32" s="32"/>
      <c r="K32" s="32"/>
      <c r="L32" s="32"/>
      <c r="M32" s="45"/>
      <c r="N32" s="45"/>
      <c r="O32" s="46"/>
      <c r="P32" s="39" t="str">
        <v>C0015</v>
      </c>
      <c r="Q32" s="40">
        <v>1138</v>
      </c>
      <c r="R32" s="40">
        <v>1898</v>
      </c>
      <c r="S32" s="40">
        <v>1482</v>
      </c>
      <c r="T32" s="40">
        <v>846</v>
      </c>
      <c r="U32" s="40">
        <v>1154</v>
      </c>
      <c r="V32" s="41">
        <v>6518</v>
      </c>
      <c r="W32" s="32"/>
      <c r="X32" s="32"/>
      <c r="Y32" s="32"/>
      <c r="Z32" s="32"/>
      <c r="AA32" s="32"/>
    </row>
    <row r="33" spans="1:27" x14ac:dyDescent="0.45">
      <c r="A33" s="32"/>
      <c r="B33" s="32"/>
      <c r="C33" s="32"/>
      <c r="D33" s="32"/>
      <c r="E33" s="32"/>
      <c r="F33" s="32"/>
      <c r="G33" s="32"/>
      <c r="H33" s="32"/>
      <c r="I33" s="32"/>
      <c r="J33" s="32"/>
      <c r="K33" s="32"/>
      <c r="L33" s="32"/>
      <c r="M33" s="45"/>
      <c r="N33" s="45"/>
      <c r="O33" s="46"/>
      <c r="P33" s="36" t="str">
        <v>Columbus</v>
      </c>
      <c r="Q33" s="40" t="str">
        <v/>
      </c>
      <c r="R33" s="40" t="str">
        <v/>
      </c>
      <c r="S33" s="40" t="str">
        <v/>
      </c>
      <c r="T33" s="40" t="str">
        <v/>
      </c>
      <c r="U33" s="40" t="str">
        <v/>
      </c>
      <c r="V33" s="41" t="str">
        <v/>
      </c>
      <c r="W33" s="32"/>
      <c r="X33" s="32"/>
      <c r="Y33" s="32"/>
      <c r="Z33" s="32"/>
      <c r="AA33" s="32"/>
    </row>
    <row r="34" spans="1:27" x14ac:dyDescent="0.45">
      <c r="A34" s="32"/>
      <c r="B34" s="32"/>
      <c r="C34" s="32"/>
      <c r="D34" s="32"/>
      <c r="E34" s="32"/>
      <c r="F34" s="32"/>
      <c r="G34" s="32"/>
      <c r="H34" s="32"/>
      <c r="I34" s="32"/>
      <c r="J34" s="32"/>
      <c r="K34" s="32"/>
      <c r="L34" s="32"/>
      <c r="M34" s="45"/>
      <c r="N34" s="45"/>
      <c r="O34" s="46"/>
      <c r="P34" s="39" t="str">
        <v>C0001</v>
      </c>
      <c r="Q34" s="40">
        <v>1655</v>
      </c>
      <c r="R34" s="40">
        <v>805</v>
      </c>
      <c r="S34" s="40">
        <v>2263</v>
      </c>
      <c r="T34" s="40">
        <v>987</v>
      </c>
      <c r="U34" s="40">
        <v>1075</v>
      </c>
      <c r="V34" s="41">
        <v>6785</v>
      </c>
      <c r="W34" s="32"/>
      <c r="X34" s="32"/>
      <c r="Y34" s="32"/>
      <c r="Z34" s="32"/>
      <c r="AA34" s="32"/>
    </row>
    <row r="35" spans="1:27" x14ac:dyDescent="0.45">
      <c r="A35" s="32"/>
      <c r="B35" s="32"/>
      <c r="C35" s="32"/>
      <c r="D35" s="32"/>
      <c r="E35" s="32"/>
      <c r="F35" s="32"/>
      <c r="G35" s="32"/>
      <c r="H35" s="32"/>
      <c r="I35" s="32"/>
      <c r="J35" s="32"/>
      <c r="K35" s="32"/>
      <c r="L35" s="32"/>
      <c r="M35" s="45" t="str">
        <f>Pivot!H64</f>
        <v>% of calls: 21%</v>
      </c>
      <c r="N35" s="45"/>
      <c r="O35" s="46"/>
      <c r="P35" s="39" t="str">
        <v>C0005</v>
      </c>
      <c r="Q35" s="40">
        <v>1104</v>
      </c>
      <c r="R35" s="40">
        <v>2280</v>
      </c>
      <c r="S35" s="40">
        <v>1445</v>
      </c>
      <c r="T35" s="40">
        <v>1722</v>
      </c>
      <c r="U35" s="40">
        <v>1196</v>
      </c>
      <c r="V35" s="41">
        <v>7747</v>
      </c>
      <c r="W35" s="32"/>
      <c r="X35" s="32"/>
      <c r="Y35" s="32"/>
      <c r="Z35" s="32"/>
      <c r="AA35" s="32"/>
    </row>
    <row r="36" spans="1:27" x14ac:dyDescent="0.45">
      <c r="A36" s="32"/>
      <c r="B36" s="32"/>
      <c r="C36" s="32"/>
      <c r="D36" s="32"/>
      <c r="E36" s="32"/>
      <c r="F36" s="32"/>
      <c r="G36" s="32"/>
      <c r="H36" s="32"/>
      <c r="I36" s="32"/>
      <c r="J36" s="32"/>
      <c r="K36" s="32"/>
      <c r="L36" s="32"/>
      <c r="M36" s="45" t="str">
        <f>Pivot!H65</f>
        <v>Call Rank: 2</v>
      </c>
      <c r="N36" s="45"/>
      <c r="O36" s="46"/>
      <c r="P36" s="39" t="str">
        <v>C0006</v>
      </c>
      <c r="Q36" s="40">
        <v>372</v>
      </c>
      <c r="R36" s="40">
        <v>1818</v>
      </c>
      <c r="S36" s="40">
        <v>1346</v>
      </c>
      <c r="T36" s="40">
        <v>1156</v>
      </c>
      <c r="U36" s="40">
        <v>1484</v>
      </c>
      <c r="V36" s="41">
        <v>6176</v>
      </c>
      <c r="W36" s="32"/>
      <c r="X36" s="32"/>
      <c r="Y36" s="32"/>
      <c r="Z36" s="32"/>
      <c r="AA36" s="32"/>
    </row>
    <row r="37" spans="1:27" x14ac:dyDescent="0.45">
      <c r="A37" s="32"/>
      <c r="B37" s="32"/>
      <c r="C37" s="32"/>
      <c r="D37" s="32"/>
      <c r="E37" s="32"/>
      <c r="F37" s="32"/>
      <c r="G37" s="32"/>
      <c r="H37" s="32"/>
      <c r="I37" s="32"/>
      <c r="J37" s="32"/>
      <c r="K37" s="32"/>
      <c r="L37" s="32"/>
      <c r="M37" s="45" t="str">
        <f>Pivot!H66</f>
        <v>Amount Rank: 1</v>
      </c>
      <c r="N37" s="45"/>
      <c r="O37" s="46"/>
      <c r="P37" s="39" t="str">
        <v>C0009</v>
      </c>
      <c r="Q37" s="40">
        <v>1415</v>
      </c>
      <c r="R37" s="40">
        <v>1271</v>
      </c>
      <c r="S37" s="40">
        <v>1214</v>
      </c>
      <c r="T37" s="40">
        <v>1135</v>
      </c>
      <c r="U37" s="40">
        <v>1566</v>
      </c>
      <c r="V37" s="41">
        <v>6601</v>
      </c>
      <c r="W37" s="32"/>
      <c r="X37" s="32"/>
      <c r="Y37" s="32"/>
      <c r="Z37" s="32"/>
      <c r="AA37" s="32"/>
    </row>
    <row r="38" spans="1:27" s="32" customFormat="1" x14ac:dyDescent="0.45">
      <c r="P38" s="42" t="str">
        <v>C0014</v>
      </c>
      <c r="Q38" s="43">
        <v>1362</v>
      </c>
      <c r="R38" s="43">
        <v>1363</v>
      </c>
      <c r="S38" s="43">
        <v>1152</v>
      </c>
      <c r="T38" s="43">
        <v>777</v>
      </c>
      <c r="U38" s="43">
        <v>750</v>
      </c>
      <c r="V38" s="44">
        <v>5404</v>
      </c>
    </row>
    <row r="39" spans="1:27" s="32" customFormat="1" x14ac:dyDescent="0.45"/>
    <row r="40" spans="1:27" s="32" customFormat="1" x14ac:dyDescent="0.45">
      <c r="U40" s="32" t="s">
        <v>1086</v>
      </c>
    </row>
    <row r="41" spans="1:27" s="32" customFormat="1" x14ac:dyDescent="0.45"/>
    <row r="42" spans="1:27" s="32" customFormat="1" x14ac:dyDescent="0.45"/>
    <row r="43" spans="1:27" s="32" customFormat="1" x14ac:dyDescent="0.45"/>
    <row r="44" spans="1:27" s="32" customFormat="1" x14ac:dyDescent="0.45"/>
    <row r="45" spans="1:27" s="32" customFormat="1" x14ac:dyDescent="0.45"/>
    <row r="46" spans="1:27" s="32" customFormat="1" x14ac:dyDescent="0.45"/>
    <row r="47" spans="1:27" s="32" customFormat="1" x14ac:dyDescent="0.45"/>
    <row r="48" spans="1:27" s="32" customFormat="1" x14ac:dyDescent="0.45"/>
    <row r="49" s="32" customFormat="1" x14ac:dyDescent="0.45"/>
    <row r="50" s="32" customFormat="1" x14ac:dyDescent="0.45"/>
    <row r="51" s="32" customFormat="1" x14ac:dyDescent="0.45"/>
    <row r="52" s="32" customFormat="1" x14ac:dyDescent="0.45"/>
    <row r="53" s="32" customFormat="1" x14ac:dyDescent="0.45"/>
    <row r="54" s="32" customFormat="1" x14ac:dyDescent="0.45"/>
    <row r="55" s="32" customFormat="1" x14ac:dyDescent="0.45"/>
    <row r="56" s="32" customFormat="1" x14ac:dyDescent="0.45"/>
    <row r="57" s="32" customFormat="1" x14ac:dyDescent="0.45"/>
    <row r="58" s="32" customFormat="1" x14ac:dyDescent="0.45"/>
    <row r="59" s="32" customFormat="1" x14ac:dyDescent="0.45"/>
    <row r="60" s="32" customFormat="1" x14ac:dyDescent="0.45"/>
    <row r="61" s="32" customFormat="1" x14ac:dyDescent="0.45"/>
    <row r="62" s="32" customFormat="1" x14ac:dyDescent="0.45"/>
    <row r="63" s="32" customFormat="1" x14ac:dyDescent="0.45"/>
    <row r="64" s="32" customFormat="1" x14ac:dyDescent="0.45"/>
    <row r="65" s="32" customFormat="1" x14ac:dyDescent="0.45"/>
    <row r="66" s="32" customFormat="1" x14ac:dyDescent="0.45"/>
    <row r="67" s="32" customFormat="1" x14ac:dyDescent="0.45"/>
    <row r="68" s="32" customFormat="1" x14ac:dyDescent="0.45"/>
    <row r="69" s="32" customFormat="1" x14ac:dyDescent="0.45"/>
    <row r="70" s="32" customFormat="1" x14ac:dyDescent="0.45"/>
    <row r="71" s="32" customFormat="1" x14ac:dyDescent="0.45"/>
    <row r="72" s="32" customFormat="1" x14ac:dyDescent="0.45"/>
    <row r="73" s="32" customFormat="1" x14ac:dyDescent="0.45"/>
    <row r="74" s="32" customFormat="1" x14ac:dyDescent="0.45"/>
    <row r="75" s="32" customFormat="1" x14ac:dyDescent="0.45"/>
    <row r="76" s="32" customFormat="1" x14ac:dyDescent="0.45"/>
    <row r="77" s="32" customFormat="1" x14ac:dyDescent="0.45"/>
    <row r="78" s="32" customFormat="1" x14ac:dyDescent="0.45"/>
    <row r="79" s="32" customFormat="1" x14ac:dyDescent="0.45"/>
    <row r="80" s="32" customFormat="1" x14ac:dyDescent="0.45"/>
    <row r="81" s="32" customFormat="1" x14ac:dyDescent="0.45"/>
    <row r="82" s="32" customFormat="1" x14ac:dyDescent="0.45"/>
    <row r="83" s="32" customFormat="1" x14ac:dyDescent="0.45"/>
    <row r="84" s="32" customFormat="1" x14ac:dyDescent="0.45"/>
    <row r="85" s="32" customFormat="1" x14ac:dyDescent="0.45"/>
    <row r="86" s="32" customFormat="1" x14ac:dyDescent="0.45"/>
    <row r="87" s="32" customFormat="1" x14ac:dyDescent="0.45"/>
    <row r="88" s="32" customFormat="1" x14ac:dyDescent="0.45"/>
    <row r="89" s="32" customFormat="1" x14ac:dyDescent="0.45"/>
    <row r="90" s="32" customFormat="1" x14ac:dyDescent="0.45"/>
    <row r="91" s="32" customFormat="1" x14ac:dyDescent="0.45"/>
    <row r="92" s="32" customFormat="1" x14ac:dyDescent="0.45"/>
    <row r="93" s="32" customFormat="1" x14ac:dyDescent="0.45"/>
    <row r="94" s="32" customFormat="1" x14ac:dyDescent="0.45"/>
    <row r="95" s="32" customFormat="1" x14ac:dyDescent="0.45"/>
    <row r="96" s="32" customFormat="1" x14ac:dyDescent="0.45"/>
    <row r="97" s="32" customFormat="1" x14ac:dyDescent="0.45"/>
    <row r="98" s="32" customFormat="1" x14ac:dyDescent="0.45"/>
    <row r="99" s="32" customFormat="1" x14ac:dyDescent="0.45"/>
    <row r="100" s="32" customFormat="1" x14ac:dyDescent="0.45"/>
    <row r="101" s="32" customFormat="1" x14ac:dyDescent="0.45"/>
    <row r="102" s="32" customFormat="1" x14ac:dyDescent="0.45"/>
    <row r="103" s="32" customFormat="1" x14ac:dyDescent="0.45"/>
    <row r="104" s="32" customFormat="1" x14ac:dyDescent="0.45"/>
    <row r="105" s="32" customFormat="1" x14ac:dyDescent="0.45"/>
    <row r="106" s="32" customFormat="1" x14ac:dyDescent="0.45"/>
    <row r="107" s="32" customFormat="1" x14ac:dyDescent="0.45"/>
    <row r="108" s="32" customFormat="1" x14ac:dyDescent="0.45"/>
    <row r="109" s="32" customFormat="1" x14ac:dyDescent="0.45"/>
    <row r="110" s="32" customFormat="1" x14ac:dyDescent="0.45"/>
    <row r="111" s="32" customFormat="1" x14ac:dyDescent="0.45"/>
    <row r="112" s="32" customFormat="1" x14ac:dyDescent="0.45"/>
    <row r="113" s="32" customFormat="1" x14ac:dyDescent="0.45"/>
    <row r="114" s="32" customFormat="1" x14ac:dyDescent="0.45"/>
    <row r="115" s="32" customFormat="1" x14ac:dyDescent="0.45"/>
    <row r="116" s="32" customFormat="1" x14ac:dyDescent="0.45"/>
    <row r="117" s="32" customFormat="1" x14ac:dyDescent="0.45"/>
    <row r="118" s="32" customFormat="1" x14ac:dyDescent="0.45"/>
    <row r="119" s="32" customFormat="1" x14ac:dyDescent="0.45"/>
    <row r="120" s="32" customFormat="1" x14ac:dyDescent="0.45"/>
    <row r="121" s="32" customFormat="1" x14ac:dyDescent="0.45"/>
    <row r="122" s="32" customFormat="1" x14ac:dyDescent="0.45"/>
    <row r="123" s="32" customFormat="1" x14ac:dyDescent="0.45"/>
    <row r="124" s="32" customFormat="1" x14ac:dyDescent="0.45"/>
    <row r="125" s="32" customFormat="1" x14ac:dyDescent="0.45"/>
    <row r="126" s="32" customFormat="1" x14ac:dyDescent="0.45"/>
    <row r="127" s="32" customFormat="1" x14ac:dyDescent="0.45"/>
    <row r="128" s="32" customFormat="1" x14ac:dyDescent="0.45"/>
    <row r="129" s="32" customFormat="1" x14ac:dyDescent="0.45"/>
    <row r="130" s="32" customFormat="1" x14ac:dyDescent="0.45"/>
    <row r="131" s="32" customFormat="1" x14ac:dyDescent="0.45"/>
    <row r="132" s="32" customFormat="1" x14ac:dyDescent="0.45"/>
    <row r="133" s="32" customFormat="1" x14ac:dyDescent="0.45"/>
    <row r="134" s="32" customFormat="1" x14ac:dyDescent="0.45"/>
    <row r="135" s="32" customFormat="1" x14ac:dyDescent="0.45"/>
    <row r="136" s="32" customFormat="1" x14ac:dyDescent="0.45"/>
    <row r="137" s="32" customFormat="1" x14ac:dyDescent="0.45"/>
    <row r="138" s="32" customFormat="1" x14ac:dyDescent="0.45"/>
    <row r="139" s="32" customFormat="1" x14ac:dyDescent="0.45"/>
    <row r="140" s="32" customFormat="1" x14ac:dyDescent="0.45"/>
    <row r="141" s="32" customFormat="1" x14ac:dyDescent="0.45"/>
    <row r="142" s="32" customFormat="1" x14ac:dyDescent="0.45"/>
    <row r="143" s="32" customFormat="1" x14ac:dyDescent="0.45"/>
    <row r="144" s="32" customFormat="1" x14ac:dyDescent="0.45"/>
  </sheetData>
  <sheetProtection selectLockedCells="1"/>
  <mergeCells count="6">
    <mergeCell ref="A1:W1"/>
    <mergeCell ref="M30:O34"/>
    <mergeCell ref="M35:O35"/>
    <mergeCell ref="M36:O36"/>
    <mergeCell ref="M37:O37"/>
    <mergeCell ref="A2:XFD5"/>
  </mergeCells>
  <conditionalFormatting sqref="Q22:U38">
    <cfRule type="dataBar" priority="2">
      <dataBar>
        <cfvo type="num" val="0"/>
        <cfvo type="formula" val="MAX($Q$22:$U$38)*2"/>
        <color theme="1" tint="0.249977111117893"/>
      </dataBar>
      <extLst>
        <ext xmlns:x14="http://schemas.microsoft.com/office/spreadsheetml/2009/9/main" uri="{B025F937-C7B1-47D3-B67F-A62EFF666E3E}">
          <x14:id>{7B112F6B-7D4F-4BD6-949A-1F0893F1231D}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212D1427-2766-412B-A1E5-F82F12097BAF}">
            <xm:f>Q$20=Pivot!$A$59</xm:f>
            <x14:dxf>
              <fill>
                <patternFill>
                  <bgColor theme="8" tint="0.39994506668294322"/>
                </patternFill>
              </fill>
              <border>
                <left style="thin">
                  <color auto="1"/>
                </left>
                <right style="thin">
                  <color auto="1"/>
                </right>
                <top style="thin">
                  <color auto="1"/>
                </top>
                <bottom style="thin">
                  <color auto="1"/>
                </bottom>
                <vertical/>
                <horizontal/>
              </border>
            </x14:dxf>
          </x14:cfRule>
          <xm:sqref>Q20:U38</xm:sqref>
        </x14:conditionalFormatting>
        <x14:conditionalFormatting xmlns:xm="http://schemas.microsoft.com/office/excel/2006/main">
          <x14:cfRule type="dataBar" id="{7B112F6B-7D4F-4BD6-949A-1F0893F1231D}">
            <x14:dataBar minLength="0" maxLength="100" gradient="0">
              <x14:cfvo type="num">
                <xm:f>0</xm:f>
              </x14:cfvo>
              <x14:cfvo type="formula">
                <xm:f>MAX($Q$22:$U$38)*2</xm:f>
              </x14:cfvo>
              <x14:negativeFillColor rgb="FFFF0000"/>
              <x14:axisColor rgb="FF000000"/>
            </x14:dataBar>
          </x14:cfRule>
          <xm:sqref>Q22:U38</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C17" sqref="C17"/>
    </sheetView>
  </sheetViews>
  <sheetFormatPr defaultRowHeight="14.25" x14ac:dyDescent="0.45"/>
  <cols>
    <col min="5" max="5" width="10.86328125" customWidth="1"/>
    <col min="6" max="6" width="9.86328125" customWidth="1"/>
  </cols>
  <sheetData>
    <row r="2" spans="5:6" x14ac:dyDescent="0.45">
      <c r="E2" t="s">
        <v>1039</v>
      </c>
      <c r="F2" t="s">
        <v>1040</v>
      </c>
    </row>
    <row r="3" spans="5:6" ht="25.5" customHeight="1" x14ac:dyDescent="0.45">
      <c r="E3" t="s">
        <v>11</v>
      </c>
      <c r="F3" t="e" vm="2">
        <v>#VALUE!</v>
      </c>
    </row>
    <row r="4" spans="5:6" ht="25.5" customHeight="1" x14ac:dyDescent="0.45">
      <c r="E4" t="s">
        <v>9</v>
      </c>
      <c r="F4" t="e" vm="3">
        <v>#VALUE!</v>
      </c>
    </row>
    <row r="5" spans="5:6" ht="25.5" customHeight="1" x14ac:dyDescent="0.45">
      <c r="E5" t="s">
        <v>6</v>
      </c>
      <c r="F5" t="e" vm="4">
        <v>#VALUE!</v>
      </c>
    </row>
    <row r="6" spans="5:6" ht="25.5" customHeight="1" x14ac:dyDescent="0.45">
      <c r="E6" t="s">
        <v>13</v>
      </c>
      <c r="F6" t="e" vm="5">
        <v>#VALUE!</v>
      </c>
    </row>
    <row r="7" spans="5:6" ht="25.5" customHeight="1" x14ac:dyDescent="0.45">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vt:lpstr>
      <vt:lpstr>Customer Center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krishnasai kona</cp:lastModifiedBy>
  <dcterms:created xsi:type="dcterms:W3CDTF">2021-03-14T20:21:32Z</dcterms:created>
  <dcterms:modified xsi:type="dcterms:W3CDTF">2026-05-08T10:37:00Z</dcterms:modified>
</cp:coreProperties>
</file>